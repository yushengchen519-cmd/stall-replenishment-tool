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590" tabRatio="600" firstSheet="0" activeTab="1" autoFilterDateGrouping="1"/>
  </bookViews>
  <sheets>
    <sheet xmlns:r="http://schemas.openxmlformats.org/officeDocument/2006/relationships" name="补货清单" sheetId="1" state="visible" r:id="rId1"/>
    <sheet xmlns:r="http://schemas.openxmlformats.org/officeDocument/2006/relationships" name="商品目录" sheetId="2" state="visible" r:id="rId2"/>
    <sheet xmlns:r="http://schemas.openxmlformats.org/officeDocument/2006/relationships" name="库存总览" sheetId="3" state="visible" r:id="rId3"/>
    <sheet xmlns:r="http://schemas.openxmlformats.org/officeDocument/2006/relationships" name="进货单" sheetId="4" state="visible" r:id="rId4"/>
    <sheet xmlns:r="http://schemas.openxmlformats.org/officeDocument/2006/relationships" name="销售开单" sheetId="5" state="visible" r:id="rId5"/>
    <sheet xmlns:r="http://schemas.openxmlformats.org/officeDocument/2006/relationships" name="记账汇总" sheetId="6" state="visible" r:id="rId6"/>
  </sheets>
  <definedNames>
    <definedName name="_xlnm._FilterDatabase" localSheetId="0" hidden="1">'补货清单'!$A$3:$Q$23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3">
    <font>
      <name val="宋体"/>
      <charset val="134"/>
      <color theme="1"/>
      <sz val="11"/>
      <scheme val="minor"/>
    </font>
    <font>
      <name val="Microsoft YaHei"/>
      <charset val="134"/>
      <b val="1"/>
      <color rgb="FF1B1A55"/>
      <sz val="16"/>
    </font>
    <font>
      <name val="Microsoft YaHei"/>
      <charset val="134"/>
      <color rgb="FF888888"/>
      <sz val="9"/>
    </font>
    <font>
      <name val="Microsoft YaHei"/>
      <charset val="134"/>
      <b val="1"/>
      <color rgb="FFFFFFFF"/>
      <sz val="11"/>
    </font>
    <font>
      <name val="Microsoft YaHei"/>
      <charset val="134"/>
      <b val="1"/>
      <sz val="10"/>
    </font>
    <font>
      <name val="Consolas"/>
      <charset val="134"/>
      <sz val="10"/>
    </font>
    <font>
      <name val="Microsoft YaHei"/>
      <charset val="134"/>
      <b val="1"/>
      <color rgb="FFFFFFFF"/>
      <sz val="10"/>
    </font>
    <font>
      <name val="Consolas"/>
      <charset val="134"/>
      <b val="1"/>
      <color rgb="FFFFFFFF"/>
      <sz val="10"/>
    </font>
    <font>
      <name val="Microsoft YaHei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C0392B"/>
      <sz val="14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C0392B"/>
      <sz val="10"/>
    </font>
    <font>
      <name val="Microsoft YaHei"/>
      <b val="1"/>
      <color rgb="00C0392B"/>
      <sz val="12"/>
    </font>
    <font>
      <name val="Microsoft YaHei"/>
      <b val="1"/>
      <color rgb="0027AE60"/>
      <sz val="11"/>
    </font>
    <font>
      <name val="Microsoft YaHei"/>
      <b val="1"/>
      <color rgb="00E67E22"/>
      <sz val="10"/>
    </font>
    <font>
      <name val="Microsoft YaHei"/>
      <color rgb="0027AE60"/>
      <sz val="10"/>
    </font>
    <font>
      <name val="Microsoft YaHei"/>
      <b val="1"/>
      <color rgb="002C3E50"/>
      <sz val="10"/>
    </font>
    <font>
      <name val="Microsoft YaHei"/>
      <b val="1"/>
      <color rgb="0027AE60"/>
      <sz val="14"/>
    </font>
    <font>
      <name val="Microsoft YaHei"/>
      <color rgb="00C0392B"/>
      <sz val="10"/>
    </font>
    <font>
      <name val="Microsoft YaHei"/>
      <color rgb="00E67E22"/>
      <sz val="10"/>
    </font>
  </fonts>
  <fills count="40">
    <fill>
      <patternFill/>
    </fill>
    <fill>
      <patternFill patternType="gray125"/>
    </fill>
    <fill>
      <patternFill patternType="solid">
        <fgColor rgb="FF1B1A55"/>
        <bgColor rgb="FF1B1A5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FFE0E0"/>
        <bgColor rgb="00FFE0E0"/>
      </patternFill>
    </fill>
    <fill>
      <patternFill patternType="solid">
        <fgColor rgb="00FFF8E1"/>
        <bgColor rgb="00FFF8E1"/>
      </patternFill>
    </fill>
    <fill>
      <patternFill patternType="solid">
        <fgColor rgb="00FFF5CC"/>
        <bgColor rgb="00FFF5CC"/>
      </patternFill>
    </fill>
    <fill>
      <patternFill patternType="solid">
        <fgColor rgb="00E0FFE0"/>
        <bgColor rgb="00E0FFE0"/>
      </patternFill>
    </fill>
    <fill>
      <patternFill patternType="solid">
        <fgColor rgb="00E8F8F5"/>
        <bgColor rgb="00E8F8F5"/>
      </patternFill>
    </fill>
  </fills>
  <borders count="1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E67E22"/>
      </left>
      <right style="medium">
        <color rgb="00E67E22"/>
      </right>
      <top style="medium">
        <color rgb="00E67E22"/>
      </top>
      <bottom style="medium">
        <color rgb="00E67E22"/>
      </bottom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4" borderId="7" applyAlignment="1">
      <alignment vertical="center"/>
    </xf>
    <xf numFmtId="0" fontId="19" fillId="5" borderId="8" applyAlignment="1">
      <alignment vertical="center"/>
    </xf>
    <xf numFmtId="0" fontId="20" fillId="5" borderId="7" applyAlignment="1">
      <alignment vertical="center"/>
    </xf>
    <xf numFmtId="0" fontId="21" fillId="6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34" borderId="13" applyAlignment="1" pivotButton="0" quotePrefix="0" xfId="0">
      <alignment horizontal="center" vertical="center"/>
    </xf>
    <xf numFmtId="0" fontId="32" fillId="35" borderId="13" applyAlignment="1" pivotButton="0" quotePrefix="0" xfId="0">
      <alignment horizontal="center" vertical="center"/>
    </xf>
    <xf numFmtId="0" fontId="32" fillId="35" borderId="13" applyAlignment="1" pivotButton="0" quotePrefix="0" xfId="0">
      <alignment horizontal="left" vertical="center"/>
    </xf>
    <xf numFmtId="1" fontId="33" fillId="35" borderId="13" applyAlignment="1" pivotButton="0" quotePrefix="0" xfId="0">
      <alignment horizontal="center" vertical="center"/>
    </xf>
    <xf numFmtId="1" fontId="32" fillId="35" borderId="13" applyAlignment="1" pivotButton="0" quotePrefix="0" xfId="0">
      <alignment horizontal="center" vertical="center"/>
    </xf>
    <xf numFmtId="0" fontId="34" fillId="35" borderId="13" applyAlignment="1" pivotButton="0" quotePrefix="0" xfId="0">
      <alignment horizontal="center" vertical="center"/>
    </xf>
    <xf numFmtId="2" fontId="32" fillId="35" borderId="13" applyAlignment="1" pivotButton="0" quotePrefix="0" xfId="0">
      <alignment horizontal="center" vertical="center"/>
    </xf>
    <xf numFmtId="1" fontId="35" fillId="36" borderId="14" applyAlignment="1" pivotButton="0" quotePrefix="0" xfId="0">
      <alignment horizontal="center" vertical="center"/>
    </xf>
    <xf numFmtId="2" fontId="36" fillId="35" borderId="13" applyAlignment="1" pivotButton="0" quotePrefix="0" xfId="0">
      <alignment horizontal="center" vertical="center"/>
    </xf>
    <xf numFmtId="0" fontId="32" fillId="37" borderId="13" applyAlignment="1" pivotButton="0" quotePrefix="0" xfId="0">
      <alignment horizontal="center" vertical="center"/>
    </xf>
    <xf numFmtId="0" fontId="32" fillId="37" borderId="13" applyAlignment="1" pivotButton="0" quotePrefix="0" xfId="0">
      <alignment horizontal="left" vertical="center"/>
    </xf>
    <xf numFmtId="1" fontId="33" fillId="37" borderId="13" applyAlignment="1" pivotButton="0" quotePrefix="0" xfId="0">
      <alignment horizontal="center" vertical="center"/>
    </xf>
    <xf numFmtId="1" fontId="32" fillId="37" borderId="13" applyAlignment="1" pivotButton="0" quotePrefix="0" xfId="0">
      <alignment horizontal="center" vertical="center"/>
    </xf>
    <xf numFmtId="0" fontId="37" fillId="37" borderId="13" applyAlignment="1" pivotButton="0" quotePrefix="0" xfId="0">
      <alignment horizontal="center" vertical="center"/>
    </xf>
    <xf numFmtId="2" fontId="32" fillId="37" borderId="13" applyAlignment="1" pivotButton="0" quotePrefix="0" xfId="0">
      <alignment horizontal="center" vertical="center"/>
    </xf>
    <xf numFmtId="2" fontId="36" fillId="37" borderId="13" applyAlignment="1" pivotButton="0" quotePrefix="0" xfId="0">
      <alignment horizontal="center" vertical="center"/>
    </xf>
    <xf numFmtId="0" fontId="32" fillId="38" borderId="13" applyAlignment="1" pivotButton="0" quotePrefix="0" xfId="0">
      <alignment horizontal="center" vertical="center"/>
    </xf>
    <xf numFmtId="0" fontId="32" fillId="38" borderId="13" applyAlignment="1" pivotButton="0" quotePrefix="0" xfId="0">
      <alignment horizontal="left" vertical="center"/>
    </xf>
    <xf numFmtId="1" fontId="33" fillId="38" borderId="13" applyAlignment="1" pivotButton="0" quotePrefix="0" xfId="0">
      <alignment horizontal="center" vertical="center"/>
    </xf>
    <xf numFmtId="1" fontId="32" fillId="38" borderId="13" applyAlignment="1" pivotButton="0" quotePrefix="0" xfId="0">
      <alignment horizontal="center" vertical="center"/>
    </xf>
    <xf numFmtId="0" fontId="38" fillId="38" borderId="13" applyAlignment="1" pivotButton="0" quotePrefix="0" xfId="0">
      <alignment horizontal="center" vertical="center"/>
    </xf>
    <xf numFmtId="2" fontId="32" fillId="38" borderId="13" applyAlignment="1" pivotButton="0" quotePrefix="0" xfId="0">
      <alignment horizontal="center" vertical="center"/>
    </xf>
    <xf numFmtId="2" fontId="36" fillId="38" borderId="13" applyAlignment="1" pivotButton="0" quotePrefix="0" xfId="0">
      <alignment horizontal="center" vertical="center"/>
    </xf>
    <xf numFmtId="0" fontId="35" fillId="0" borderId="0" pivotButton="0" quotePrefix="0" xfId="0"/>
    <xf numFmtId="0" fontId="39" fillId="39" borderId="13" applyAlignment="1" pivotButton="0" quotePrefix="0" xfId="0">
      <alignment horizontal="center" vertical="center"/>
    </xf>
    <xf numFmtId="1" fontId="35" fillId="0" borderId="13" applyAlignment="1" pivotButton="0" quotePrefix="0" xfId="0">
      <alignment horizontal="center" vertical="center"/>
    </xf>
    <xf numFmtId="2" fontId="40" fillId="0" borderId="13" applyAlignment="1" pivotButton="0" quotePrefix="0" xfId="0">
      <alignment horizontal="center" vertical="center"/>
    </xf>
    <xf numFmtId="0" fontId="33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38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Consolas"/>
        <b val="1"/>
        <color rgb="FFFFFFFF"/>
        <sz val="10"/>
      </font>
      <fill>
        <patternFill patternType="solid">
          <fgColor rgb="FFF8696B"/>
          <bgColor rgb="FFF8696B"/>
        </patternFill>
      </fill>
    </dxf>
    <dxf>
      <font>
        <name val="Microsoft YaHei"/>
        <b val="1"/>
        <color rgb="FFFFFFFF"/>
        <sz val="10"/>
      </font>
      <fill>
        <patternFill patternType="solid">
          <fgColor rgb="FFF8696B"/>
          <bgColor rgb="FFF8696B"/>
        </patternFill>
      </fill>
    </dxf>
    <dxf>
      <font>
        <name val="Microsoft YaHei"/>
        <b val="1"/>
        <color rgb="FF333333"/>
        <sz val="10"/>
      </font>
      <fill>
        <patternFill patternType="solid">
          <fgColor rgb="FFFFC000"/>
          <bgColor rgb="FFFFC000"/>
        </patternFill>
      </fill>
    </dxf>
    <dxf>
      <font>
        <name val="Microsoft YaHei"/>
        <b val="1"/>
        <color rgb="FF333333"/>
        <sz val="10"/>
      </font>
      <fill>
        <patternFill patternType="solid">
          <fgColor rgb="FF63BE7B"/>
          <bgColor rgb="FF63BE7B"/>
        </patternFill>
      </fill>
    </dxf>
    <dxf>
      <fill>
        <patternFill patternType="solid">
          <fgColor rgb="FFE8EAF6"/>
          <bgColor rgb="FFE8EA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22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20" customWidth="1" min="13" max="13"/>
    <col width="12" customWidth="1" min="14" max="14"/>
    <col width="14" customWidth="1" min="15" max="15"/>
    <col width="14" customWidth="1" min="16" max="16"/>
    <col width="20" customWidth="1" min="17" max="17"/>
  </cols>
  <sheetData>
    <row r="1" ht="32" customHeight="1">
      <c r="A1" s="18" t="inlineStr">
        <is>
          <t>📦 补货清单 — Replenishment Worksheet</t>
        </is>
      </c>
    </row>
    <row r="2" ht="24" customHeight="1">
      <c r="A2" s="19" t="inlineStr">
        <is>
          <t>本表汇总全部SKU库存状态。缺货/不足项排前。在「本次补货数量」列填入数量，金额自动计算。黄色底=需补货。绿色底=库存充足暂无需补。</t>
        </is>
      </c>
    </row>
    <row r="3" ht="28" customHeight="1">
      <c r="A3" s="20" t="inlineStr">
        <is>
          <t>序号</t>
        </is>
      </c>
      <c r="B3" s="20" t="inlineStr">
        <is>
          <t>商品编号</t>
        </is>
      </c>
      <c r="C3" s="20" t="inlineStr">
        <is>
          <t>品类</t>
        </is>
      </c>
      <c r="D3" s="20" t="inlineStr">
        <is>
          <t>品牌</t>
        </is>
      </c>
      <c r="E3" s="20" t="inlineStr">
        <is>
          <t>款式名称</t>
        </is>
      </c>
      <c r="F3" s="20" t="inlineStr">
        <is>
          <t>尺码</t>
        </is>
      </c>
      <c r="G3" s="20" t="inlineStr">
        <is>
          <t>颜色</t>
        </is>
      </c>
      <c r="H3" s="20" t="inlineStr">
        <is>
          <t>存放位置</t>
        </is>
      </c>
      <c r="I3" s="20" t="inlineStr">
        <is>
          <t>当前库存</t>
        </is>
      </c>
      <c r="J3" s="20" t="inlineStr">
        <is>
          <t>安全库存</t>
        </is>
      </c>
      <c r="K3" s="20" t="inlineStr">
        <is>
          <t>建议补货量</t>
        </is>
      </c>
      <c r="L3" s="20" t="inlineStr">
        <is>
          <t>库存状态</t>
        </is>
      </c>
      <c r="M3" s="20" t="inlineStr">
        <is>
          <t>供应商</t>
        </is>
      </c>
      <c r="N3" s="20" t="inlineStr">
        <is>
          <t>成本单价(SGD)</t>
        </is>
      </c>
      <c r="O3" s="20" t="inlineStr">
        <is>
          <t>本次补货数量</t>
        </is>
      </c>
      <c r="P3" s="20" t="inlineStr">
        <is>
          <t>补货金额(SGD)</t>
        </is>
      </c>
      <c r="Q3" s="20" t="inlineStr">
        <is>
          <t>备注</t>
        </is>
      </c>
    </row>
    <row r="4" ht="24" customHeight="1">
      <c r="A4" s="21" t="n">
        <v>1</v>
      </c>
      <c r="B4" s="21" t="inlineStr">
        <is>
          <t>BR-001</t>
        </is>
      </c>
      <c r="C4" s="21" t="inlineStr">
        <is>
          <t>内衣</t>
        </is>
      </c>
      <c r="D4" s="22" t="inlineStr">
        <is>
          <t>Triumph</t>
        </is>
      </c>
      <c r="E4" s="22" t="inlineStr">
        <is>
          <t>无钢圈舒适文胸</t>
        </is>
      </c>
      <c r="F4" s="21" t="inlineStr">
        <is>
          <t>36B</t>
        </is>
      </c>
      <c r="G4" s="21" t="inlineStr">
        <is>
          <t>肤色</t>
        </is>
      </c>
      <c r="H4" s="22" t="inlineStr"/>
      <c r="I4" s="23">
        <f>库存总览!J5</f>
        <v/>
      </c>
      <c r="J4" s="24">
        <f>库存总览!K5</f>
        <v/>
      </c>
      <c r="K4" s="23">
        <f>库存总览!L5</f>
        <v/>
      </c>
      <c r="L4" s="25" t="inlineStr">
        <is>
          <t>缺货</t>
        </is>
      </c>
      <c r="M4" s="22" t="inlineStr">
        <is>
          <t>Triumph SG</t>
        </is>
      </c>
      <c r="N4" s="26" t="n">
        <v>10.5</v>
      </c>
      <c r="O4" s="27" t="n"/>
      <c r="P4" s="28">
        <f>IF(O4="","",O4*N4)</f>
        <v/>
      </c>
      <c r="Q4" s="22" t="n"/>
    </row>
    <row r="5" ht="24" customHeight="1">
      <c r="A5" s="21" t="n">
        <v>2</v>
      </c>
      <c r="B5" s="21" t="inlineStr">
        <is>
          <t>BR-001</t>
        </is>
      </c>
      <c r="C5" s="21" t="inlineStr">
        <is>
          <t>内衣</t>
        </is>
      </c>
      <c r="D5" s="22" t="inlineStr">
        <is>
          <t>Triumph</t>
        </is>
      </c>
      <c r="E5" s="22" t="inlineStr">
        <is>
          <t>无钢圈舒适文胸</t>
        </is>
      </c>
      <c r="F5" s="21" t="inlineStr">
        <is>
          <t>34C</t>
        </is>
      </c>
      <c r="G5" s="21" t="inlineStr">
        <is>
          <t>黑色</t>
        </is>
      </c>
      <c r="H5" s="22" t="inlineStr"/>
      <c r="I5" s="23">
        <f>库存总览!J6</f>
        <v/>
      </c>
      <c r="J5" s="24">
        <f>库存总览!K6</f>
        <v/>
      </c>
      <c r="K5" s="23">
        <f>库存总览!L6</f>
        <v/>
      </c>
      <c r="L5" s="25" t="inlineStr">
        <is>
          <t>缺货</t>
        </is>
      </c>
      <c r="M5" s="22" t="inlineStr">
        <is>
          <t>Triumph SG</t>
        </is>
      </c>
      <c r="N5" s="26" t="n">
        <v>10.5</v>
      </c>
      <c r="O5" s="27" t="n"/>
      <c r="P5" s="28">
        <f>IF(O5="","",O5*N5)</f>
        <v/>
      </c>
      <c r="Q5" s="22" t="n"/>
    </row>
    <row r="6" ht="24" customHeight="1">
      <c r="A6" s="21" t="n">
        <v>3</v>
      </c>
      <c r="B6" s="21" t="inlineStr">
        <is>
          <t>BR-004</t>
        </is>
      </c>
      <c r="C6" s="21" t="inlineStr">
        <is>
          <t>内衣</t>
        </is>
      </c>
      <c r="D6" s="22" t="inlineStr">
        <is>
          <t>Wacoal</t>
        </is>
      </c>
      <c r="E6" s="22" t="inlineStr">
        <is>
          <t>聚拢调整型文胸</t>
        </is>
      </c>
      <c r="F6" s="21" t="inlineStr">
        <is>
          <t>36C</t>
        </is>
      </c>
      <c r="G6" s="21" t="inlineStr">
        <is>
          <t>肤色</t>
        </is>
      </c>
      <c r="H6" s="22" t="inlineStr"/>
      <c r="I6" s="23">
        <f>库存总览!J8</f>
        <v/>
      </c>
      <c r="J6" s="24">
        <f>库存总览!K8</f>
        <v/>
      </c>
      <c r="K6" s="23">
        <f>库存总览!L8</f>
        <v/>
      </c>
      <c r="L6" s="25" t="inlineStr">
        <is>
          <t>缺货</t>
        </is>
      </c>
      <c r="M6" s="22" t="inlineStr">
        <is>
          <t>Wacoal 代理</t>
        </is>
      </c>
      <c r="N6" s="26" t="n">
        <v>14</v>
      </c>
      <c r="O6" s="27" t="n"/>
      <c r="P6" s="28">
        <f>IF(O6="","",O6*N6)</f>
        <v/>
      </c>
      <c r="Q6" s="22" t="n"/>
    </row>
    <row r="7" ht="24" customHeight="1">
      <c r="A7" s="21" t="n">
        <v>4</v>
      </c>
      <c r="B7" s="21" t="inlineStr">
        <is>
          <t>UN-001</t>
        </is>
      </c>
      <c r="C7" s="21" t="inlineStr">
        <is>
          <t>内裤</t>
        </is>
      </c>
      <c r="D7" s="22" t="inlineStr">
        <is>
          <t>Byford</t>
        </is>
      </c>
      <c r="E7" s="22" t="inlineStr">
        <is>
          <t>纯棉平角内裤(男)</t>
        </is>
      </c>
      <c r="F7" s="21" t="inlineStr">
        <is>
          <t>M</t>
        </is>
      </c>
      <c r="G7" s="21" t="inlineStr">
        <is>
          <t>灰色</t>
        </is>
      </c>
      <c r="H7" s="22" t="inlineStr">
        <is>
          <t>B架-1层</t>
        </is>
      </c>
      <c r="I7" s="23">
        <f>库存总览!J9</f>
        <v/>
      </c>
      <c r="J7" s="24">
        <f>库存总览!K9</f>
        <v/>
      </c>
      <c r="K7" s="23">
        <f>库存总览!L9</f>
        <v/>
      </c>
      <c r="L7" s="25" t="inlineStr">
        <is>
          <t>缺货</t>
        </is>
      </c>
      <c r="M7" s="22" t="inlineStr">
        <is>
          <t>Byford 批发</t>
        </is>
      </c>
      <c r="N7" s="26" t="n">
        <v>4.5</v>
      </c>
      <c r="O7" s="27" t="n"/>
      <c r="P7" s="28">
        <f>IF(O7="","",O7*N7)</f>
        <v/>
      </c>
      <c r="Q7" s="22" t="n"/>
    </row>
    <row r="8" ht="24" customHeight="1">
      <c r="A8" s="21" t="n">
        <v>5</v>
      </c>
      <c r="B8" s="21" t="inlineStr">
        <is>
          <t>UN-001</t>
        </is>
      </c>
      <c r="C8" s="21" t="inlineStr">
        <is>
          <t>内裤</t>
        </is>
      </c>
      <c r="D8" s="22" t="inlineStr">
        <is>
          <t>Byford</t>
        </is>
      </c>
      <c r="E8" s="22" t="inlineStr">
        <is>
          <t>纯棉平角内裤(男)</t>
        </is>
      </c>
      <c r="F8" s="21" t="inlineStr">
        <is>
          <t>L</t>
        </is>
      </c>
      <c r="G8" s="21" t="inlineStr">
        <is>
          <t>灰色</t>
        </is>
      </c>
      <c r="H8" s="22" t="inlineStr"/>
      <c r="I8" s="23">
        <f>库存总览!J10</f>
        <v/>
      </c>
      <c r="J8" s="24">
        <f>库存总览!K10</f>
        <v/>
      </c>
      <c r="K8" s="23">
        <f>库存总览!L10</f>
        <v/>
      </c>
      <c r="L8" s="25" t="inlineStr">
        <is>
          <t>缺货</t>
        </is>
      </c>
      <c r="M8" s="22" t="inlineStr">
        <is>
          <t>Byford 批发</t>
        </is>
      </c>
      <c r="N8" s="26" t="n">
        <v>4.5</v>
      </c>
      <c r="O8" s="27" t="n"/>
      <c r="P8" s="28">
        <f>IF(O8="","",O8*N8)</f>
        <v/>
      </c>
      <c r="Q8" s="22" t="n"/>
    </row>
    <row r="9" ht="24" customHeight="1">
      <c r="A9" s="21" t="n">
        <v>6</v>
      </c>
      <c r="B9" s="21" t="inlineStr">
        <is>
          <t>UN-001</t>
        </is>
      </c>
      <c r="C9" s="21" t="inlineStr">
        <is>
          <t>内裤</t>
        </is>
      </c>
      <c r="D9" s="22" t="inlineStr">
        <is>
          <t>Byford</t>
        </is>
      </c>
      <c r="E9" s="22" t="inlineStr">
        <is>
          <t>纯棉平角内裤(男)</t>
        </is>
      </c>
      <c r="F9" s="21" t="inlineStr">
        <is>
          <t>XL</t>
        </is>
      </c>
      <c r="G9" s="21" t="inlineStr">
        <is>
          <t>黑色</t>
        </is>
      </c>
      <c r="H9" s="22" t="inlineStr"/>
      <c r="I9" s="23">
        <f>库存总览!J11</f>
        <v/>
      </c>
      <c r="J9" s="24">
        <f>库存总览!K11</f>
        <v/>
      </c>
      <c r="K9" s="23">
        <f>库存总览!L11</f>
        <v/>
      </c>
      <c r="L9" s="25" t="inlineStr">
        <is>
          <t>缺货</t>
        </is>
      </c>
      <c r="M9" s="22" t="inlineStr">
        <is>
          <t>Byford 批发</t>
        </is>
      </c>
      <c r="N9" s="26" t="n">
        <v>4.5</v>
      </c>
      <c r="O9" s="27" t="n"/>
      <c r="P9" s="28">
        <f>IF(O9="","",O9*N9)</f>
        <v/>
      </c>
      <c r="Q9" s="22" t="n"/>
    </row>
    <row r="10" ht="24" customHeight="1">
      <c r="A10" s="21" t="n">
        <v>7</v>
      </c>
      <c r="B10" s="21" t="inlineStr">
        <is>
          <t>UN-004</t>
        </is>
      </c>
      <c r="C10" s="21" t="inlineStr">
        <is>
          <t>内裤</t>
        </is>
      </c>
      <c r="D10" s="22" t="inlineStr">
        <is>
          <t>Renoma</t>
        </is>
      </c>
      <c r="E10" s="22" t="inlineStr">
        <is>
          <t>冰丝三角内裤(男)</t>
        </is>
      </c>
      <c r="F10" s="21" t="inlineStr">
        <is>
          <t>L</t>
        </is>
      </c>
      <c r="G10" s="21" t="inlineStr">
        <is>
          <t>黑色</t>
        </is>
      </c>
      <c r="H10" s="22" t="inlineStr"/>
      <c r="I10" s="23">
        <f>库存总览!J13</f>
        <v/>
      </c>
      <c r="J10" s="24">
        <f>库存总览!K13</f>
        <v/>
      </c>
      <c r="K10" s="23">
        <f>库存总览!L13</f>
        <v/>
      </c>
      <c r="L10" s="25" t="inlineStr">
        <is>
          <t>缺货</t>
        </is>
      </c>
      <c r="M10" s="22" t="inlineStr">
        <is>
          <t>Renoma 总代</t>
        </is>
      </c>
      <c r="N10" s="26" t="n">
        <v>3.2</v>
      </c>
      <c r="O10" s="27" t="n"/>
      <c r="P10" s="28">
        <f>IF(O10="","",O10*N10)</f>
        <v/>
      </c>
      <c r="Q10" s="22" t="n"/>
    </row>
    <row r="11" ht="24" customHeight="1">
      <c r="A11" s="21" t="n">
        <v>8</v>
      </c>
      <c r="B11" s="21" t="inlineStr">
        <is>
          <t>UN-006</t>
        </is>
      </c>
      <c r="C11" s="21" t="inlineStr">
        <is>
          <t>内裤</t>
        </is>
      </c>
      <c r="D11" s="22" t="inlineStr">
        <is>
          <t>Triumph</t>
        </is>
      </c>
      <c r="E11" s="22" t="inlineStr">
        <is>
          <t>蕾丝三角内裤(女)</t>
        </is>
      </c>
      <c r="F11" s="21" t="inlineStr">
        <is>
          <t>L</t>
        </is>
      </c>
      <c r="G11" s="21" t="inlineStr">
        <is>
          <t>肤色</t>
        </is>
      </c>
      <c r="H11" s="22" t="inlineStr"/>
      <c r="I11" s="23">
        <f>库存总览!J15</f>
        <v/>
      </c>
      <c r="J11" s="24">
        <f>库存总览!K15</f>
        <v/>
      </c>
      <c r="K11" s="23">
        <f>库存总览!L15</f>
        <v/>
      </c>
      <c r="L11" s="25" t="inlineStr">
        <is>
          <t>缺货</t>
        </is>
      </c>
      <c r="M11" s="22" t="inlineStr">
        <is>
          <t>Triumph SG</t>
        </is>
      </c>
      <c r="N11" s="26" t="n">
        <v>3.8</v>
      </c>
      <c r="O11" s="27" t="n"/>
      <c r="P11" s="28">
        <f>IF(O11="","",O11*N11)</f>
        <v/>
      </c>
      <c r="Q11" s="22" t="n"/>
    </row>
    <row r="12" ht="24" customHeight="1">
      <c r="A12" s="21" t="n">
        <v>9</v>
      </c>
      <c r="B12" s="21" t="inlineStr">
        <is>
          <t>SK-001</t>
        </is>
      </c>
      <c r="C12" s="21" t="inlineStr">
        <is>
          <t>袜子</t>
        </is>
      </c>
      <c r="D12" s="22" t="inlineStr">
        <is>
          <t>Goldlion</t>
        </is>
      </c>
      <c r="E12" s="22" t="inlineStr">
        <is>
          <t>商务棉袜 3双装</t>
        </is>
      </c>
      <c r="F12" s="21" t="inlineStr">
        <is>
          <t>均码</t>
        </is>
      </c>
      <c r="G12" s="21" t="inlineStr">
        <is>
          <t>深灰</t>
        </is>
      </c>
      <c r="H12" s="22" t="inlineStr"/>
      <c r="I12" s="23">
        <f>库存总览!J17</f>
        <v/>
      </c>
      <c r="J12" s="24">
        <f>库存总览!K17</f>
        <v/>
      </c>
      <c r="K12" s="23">
        <f>库存总览!L17</f>
        <v/>
      </c>
      <c r="L12" s="25" t="inlineStr">
        <is>
          <t>缺货</t>
        </is>
      </c>
      <c r="M12" s="22" t="inlineStr">
        <is>
          <t>Goldlion 批发</t>
        </is>
      </c>
      <c r="N12" s="26" t="n">
        <v>2.5</v>
      </c>
      <c r="O12" s="27" t="n"/>
      <c r="P12" s="28">
        <f>IF(O12="","",O12*N12)</f>
        <v/>
      </c>
      <c r="Q12" s="22" t="n"/>
    </row>
    <row r="13" ht="24" customHeight="1">
      <c r="A13" s="21" t="n">
        <v>10</v>
      </c>
      <c r="B13" s="21" t="inlineStr">
        <is>
          <t>ST-001</t>
        </is>
      </c>
      <c r="C13" s="21" t="inlineStr">
        <is>
          <t>裤袜</t>
        </is>
      </c>
      <c r="D13" s="22" t="inlineStr">
        <is>
          <t>Gunze</t>
        </is>
      </c>
      <c r="E13" s="22" t="inlineStr">
        <is>
          <t>发热保暖连裤袜</t>
        </is>
      </c>
      <c r="F13" s="21" t="inlineStr">
        <is>
          <t>L-LL</t>
        </is>
      </c>
      <c r="G13" s="21" t="inlineStr">
        <is>
          <t>深灰</t>
        </is>
      </c>
      <c r="H13" s="22" t="inlineStr"/>
      <c r="I13" s="23">
        <f>库存总览!J22</f>
        <v/>
      </c>
      <c r="J13" s="24">
        <f>库存总览!K22</f>
        <v/>
      </c>
      <c r="K13" s="23">
        <f>库存总览!L22</f>
        <v/>
      </c>
      <c r="L13" s="25" t="inlineStr">
        <is>
          <t>缺货</t>
        </is>
      </c>
      <c r="M13" s="22" t="inlineStr">
        <is>
          <t>Gunze 日本</t>
        </is>
      </c>
      <c r="N13" s="26" t="n">
        <v>8</v>
      </c>
      <c r="O13" s="27" t="n"/>
      <c r="P13" s="28">
        <f>IF(O13="","",O13*N13)</f>
        <v/>
      </c>
      <c r="Q13" s="22" t="n"/>
    </row>
    <row r="14" ht="24" customHeight="1">
      <c r="A14" s="29" t="n">
        <v>11</v>
      </c>
      <c r="B14" s="29" t="inlineStr">
        <is>
          <t>UN-006</t>
        </is>
      </c>
      <c r="C14" s="29" t="inlineStr">
        <is>
          <t>内裤</t>
        </is>
      </c>
      <c r="D14" s="30" t="inlineStr">
        <is>
          <t>Triumph</t>
        </is>
      </c>
      <c r="E14" s="30" t="inlineStr">
        <is>
          <t>蕾丝三角内裤(女)</t>
        </is>
      </c>
      <c r="F14" s="29" t="inlineStr">
        <is>
          <t>M</t>
        </is>
      </c>
      <c r="G14" s="29" t="inlineStr">
        <is>
          <t>粉色</t>
        </is>
      </c>
      <c r="H14" s="30" t="inlineStr">
        <is>
          <t>B架-3层</t>
        </is>
      </c>
      <c r="I14" s="31">
        <f>库存总览!J14</f>
        <v/>
      </c>
      <c r="J14" s="32">
        <f>库存总览!K14</f>
        <v/>
      </c>
      <c r="K14" s="31">
        <f>库存总览!L14</f>
        <v/>
      </c>
      <c r="L14" s="33" t="inlineStr">
        <is>
          <t>不足</t>
        </is>
      </c>
      <c r="M14" s="30" t="inlineStr">
        <is>
          <t>Triumph SG</t>
        </is>
      </c>
      <c r="N14" s="34" t="n">
        <v>3.8</v>
      </c>
      <c r="O14" s="27" t="n"/>
      <c r="P14" s="35">
        <f>IF(O14="","",O14*N14)</f>
        <v/>
      </c>
      <c r="Q14" s="30" t="n"/>
    </row>
    <row r="15" ht="24" customHeight="1">
      <c r="A15" s="29" t="n">
        <v>12</v>
      </c>
      <c r="B15" s="29" t="inlineStr">
        <is>
          <t>SK-001</t>
        </is>
      </c>
      <c r="C15" s="29" t="inlineStr">
        <is>
          <t>袜子</t>
        </is>
      </c>
      <c r="D15" s="30" t="inlineStr">
        <is>
          <t>Goldlion</t>
        </is>
      </c>
      <c r="E15" s="30" t="inlineStr">
        <is>
          <t>商务棉袜 3双装</t>
        </is>
      </c>
      <c r="F15" s="29" t="inlineStr">
        <is>
          <t>均码</t>
        </is>
      </c>
      <c r="G15" s="29" t="inlineStr">
        <is>
          <t>黑色</t>
        </is>
      </c>
      <c r="H15" s="30" t="inlineStr">
        <is>
          <t>C架-1层</t>
        </is>
      </c>
      <c r="I15" s="31">
        <f>库存总览!J16</f>
        <v/>
      </c>
      <c r="J15" s="32">
        <f>库存总览!K16</f>
        <v/>
      </c>
      <c r="K15" s="31">
        <f>库存总览!L16</f>
        <v/>
      </c>
      <c r="L15" s="33" t="inlineStr">
        <is>
          <t>不足</t>
        </is>
      </c>
      <c r="M15" s="30" t="inlineStr">
        <is>
          <t>Goldlion 批发</t>
        </is>
      </c>
      <c r="N15" s="34" t="n">
        <v>2.5</v>
      </c>
      <c r="O15" s="27" t="n"/>
      <c r="P15" s="35">
        <f>IF(O15="","",O15*N15)</f>
        <v/>
      </c>
      <c r="Q15" s="30" t="n"/>
    </row>
    <row r="16" ht="24" customHeight="1">
      <c r="A16" s="29" t="n">
        <v>13</v>
      </c>
      <c r="B16" s="29" t="inlineStr">
        <is>
          <t>SK-003</t>
        </is>
      </c>
      <c r="C16" s="29" t="inlineStr">
        <is>
          <t>袜子</t>
        </is>
      </c>
      <c r="D16" s="30" t="inlineStr">
        <is>
          <t>Puma</t>
        </is>
      </c>
      <c r="E16" s="30" t="inlineStr">
        <is>
          <t>运动短袜(男)</t>
        </is>
      </c>
      <c r="F16" s="29" t="inlineStr">
        <is>
          <t>均码</t>
        </is>
      </c>
      <c r="G16" s="29" t="inlineStr">
        <is>
          <t>白色</t>
        </is>
      </c>
      <c r="H16" s="30" t="inlineStr">
        <is>
          <t>C架-2层</t>
        </is>
      </c>
      <c r="I16" s="31">
        <f>库存总览!J18</f>
        <v/>
      </c>
      <c r="J16" s="32">
        <f>库存总览!K18</f>
        <v/>
      </c>
      <c r="K16" s="31">
        <f>库存总览!L18</f>
        <v/>
      </c>
      <c r="L16" s="33" t="inlineStr">
        <is>
          <t>不足</t>
        </is>
      </c>
      <c r="M16" s="30" t="inlineStr">
        <is>
          <t>Puma 经销商</t>
        </is>
      </c>
      <c r="N16" s="34" t="n">
        <v>3</v>
      </c>
      <c r="O16" s="27" t="n"/>
      <c r="P16" s="35">
        <f>IF(O16="","",O16*N16)</f>
        <v/>
      </c>
      <c r="Q16" s="30" t="n"/>
    </row>
    <row r="17" ht="24" customHeight="1">
      <c r="A17" s="29" t="n">
        <v>14</v>
      </c>
      <c r="B17" s="29" t="inlineStr">
        <is>
          <t>SK-004</t>
        </is>
      </c>
      <c r="C17" s="29" t="inlineStr">
        <is>
          <t>袜子</t>
        </is>
      </c>
      <c r="D17" s="30" t="inlineStr">
        <is>
          <t>Puma</t>
        </is>
      </c>
      <c r="E17" s="30" t="inlineStr">
        <is>
          <t>运动短袜(女)</t>
        </is>
      </c>
      <c r="F17" s="29" t="inlineStr">
        <is>
          <t>均码</t>
        </is>
      </c>
      <c r="G17" s="29" t="inlineStr">
        <is>
          <t>白色</t>
        </is>
      </c>
      <c r="H17" s="30" t="inlineStr">
        <is>
          <t>C架-2层</t>
        </is>
      </c>
      <c r="I17" s="31">
        <f>库存总览!J19</f>
        <v/>
      </c>
      <c r="J17" s="32">
        <f>库存总览!K19</f>
        <v/>
      </c>
      <c r="K17" s="31">
        <f>库存总览!L19</f>
        <v/>
      </c>
      <c r="L17" s="33" t="inlineStr">
        <is>
          <t>不足</t>
        </is>
      </c>
      <c r="M17" s="30" t="inlineStr">
        <is>
          <t>Puma 经销商</t>
        </is>
      </c>
      <c r="N17" s="34" t="n">
        <v>3</v>
      </c>
      <c r="O17" s="27" t="n"/>
      <c r="P17" s="35">
        <f>IF(O17="","",O17*N17)</f>
        <v/>
      </c>
      <c r="Q17" s="30" t="n"/>
    </row>
    <row r="18" ht="24" customHeight="1">
      <c r="A18" s="29" t="n">
        <v>15</v>
      </c>
      <c r="B18" s="29" t="inlineStr">
        <is>
          <t>SK-005</t>
        </is>
      </c>
      <c r="C18" s="29" t="inlineStr">
        <is>
          <t>袜子</t>
        </is>
      </c>
      <c r="D18" s="30" t="inlineStr">
        <is>
          <t>Happy Socks</t>
        </is>
      </c>
      <c r="E18" s="30" t="inlineStr">
        <is>
          <t>彩色棉袜(女)</t>
        </is>
      </c>
      <c r="F18" s="29" t="inlineStr">
        <is>
          <t>均码</t>
        </is>
      </c>
      <c r="G18" s="29" t="inlineStr">
        <is>
          <t>花色</t>
        </is>
      </c>
      <c r="H18" s="30" t="inlineStr">
        <is>
          <t>C架-3层</t>
        </is>
      </c>
      <c r="I18" s="31">
        <f>库存总览!J20</f>
        <v/>
      </c>
      <c r="J18" s="32">
        <f>库存总览!K20</f>
        <v/>
      </c>
      <c r="K18" s="31">
        <f>库存总览!L20</f>
        <v/>
      </c>
      <c r="L18" s="33" t="inlineStr">
        <is>
          <t>不足</t>
        </is>
      </c>
      <c r="M18" s="30" t="inlineStr">
        <is>
          <t>Happy Socks SG</t>
        </is>
      </c>
      <c r="N18" s="34" t="n">
        <v>3.5</v>
      </c>
      <c r="O18" s="27" t="n"/>
      <c r="P18" s="35">
        <f>IF(O18="","",O18*N18)</f>
        <v/>
      </c>
      <c r="Q18" s="30" t="n"/>
    </row>
    <row r="19" ht="24" customHeight="1">
      <c r="A19" s="36" t="n">
        <v>16</v>
      </c>
      <c r="B19" s="36" t="inlineStr">
        <is>
          <t>BR-001</t>
        </is>
      </c>
      <c r="C19" s="36" t="inlineStr">
        <is>
          <t>内衣</t>
        </is>
      </c>
      <c r="D19" s="37" t="inlineStr">
        <is>
          <t>Triumph</t>
        </is>
      </c>
      <c r="E19" s="37" t="inlineStr">
        <is>
          <t>无钢圈舒适文胸</t>
        </is>
      </c>
      <c r="F19" s="36" t="inlineStr">
        <is>
          <t>34B</t>
        </is>
      </c>
      <c r="G19" s="36" t="inlineStr">
        <is>
          <t>黑色</t>
        </is>
      </c>
      <c r="H19" s="37" t="inlineStr">
        <is>
          <t>A架-1层</t>
        </is>
      </c>
      <c r="I19" s="38">
        <f>库存总览!J4</f>
        <v/>
      </c>
      <c r="J19" s="39">
        <f>库存总览!K4</f>
        <v/>
      </c>
      <c r="K19" s="38">
        <f>库存总览!L4</f>
        <v/>
      </c>
      <c r="L19" s="40" t="inlineStr">
        <is>
          <t>充足</t>
        </is>
      </c>
      <c r="M19" s="37" t="inlineStr">
        <is>
          <t>Triumph SG</t>
        </is>
      </c>
      <c r="N19" s="41" t="n">
        <v>10.5</v>
      </c>
      <c r="O19" s="27" t="n"/>
      <c r="P19" s="42">
        <f>IF(O19="","",O19*N19)</f>
        <v/>
      </c>
      <c r="Q19" s="37" t="n"/>
    </row>
    <row r="20" ht="24" customHeight="1">
      <c r="A20" s="36" t="n">
        <v>17</v>
      </c>
      <c r="B20" s="36" t="inlineStr">
        <is>
          <t>BR-004</t>
        </is>
      </c>
      <c r="C20" s="36" t="inlineStr">
        <is>
          <t>内衣</t>
        </is>
      </c>
      <c r="D20" s="37" t="inlineStr">
        <is>
          <t>Wacoal</t>
        </is>
      </c>
      <c r="E20" s="37" t="inlineStr">
        <is>
          <t>聚拢调整型文胸</t>
        </is>
      </c>
      <c r="F20" s="36" t="inlineStr">
        <is>
          <t>34B</t>
        </is>
      </c>
      <c r="G20" s="36" t="inlineStr">
        <is>
          <t>黑色</t>
        </is>
      </c>
      <c r="H20" s="37" t="inlineStr">
        <is>
          <t>A架-2层</t>
        </is>
      </c>
      <c r="I20" s="38">
        <f>库存总览!J7</f>
        <v/>
      </c>
      <c r="J20" s="39">
        <f>库存总览!K7</f>
        <v/>
      </c>
      <c r="K20" s="38">
        <f>库存总览!L7</f>
        <v/>
      </c>
      <c r="L20" s="40" t="inlineStr">
        <is>
          <t>充足</t>
        </is>
      </c>
      <c r="M20" s="37" t="inlineStr">
        <is>
          <t>Wacoal 代理</t>
        </is>
      </c>
      <c r="N20" s="41" t="n">
        <v>14</v>
      </c>
      <c r="O20" s="27" t="n"/>
      <c r="P20" s="42">
        <f>IF(O20="","",O20*N20)</f>
        <v/>
      </c>
      <c r="Q20" s="37" t="n"/>
    </row>
    <row r="21" ht="24" customHeight="1">
      <c r="A21" s="36" t="n">
        <v>18</v>
      </c>
      <c r="B21" s="36" t="inlineStr">
        <is>
          <t>UN-004</t>
        </is>
      </c>
      <c r="C21" s="36" t="inlineStr">
        <is>
          <t>内裤</t>
        </is>
      </c>
      <c r="D21" s="37" t="inlineStr">
        <is>
          <t>Renoma</t>
        </is>
      </c>
      <c r="E21" s="37" t="inlineStr">
        <is>
          <t>冰丝三角内裤(男)</t>
        </is>
      </c>
      <c r="F21" s="36" t="inlineStr">
        <is>
          <t>M</t>
        </is>
      </c>
      <c r="G21" s="36" t="inlineStr">
        <is>
          <t>蓝色</t>
        </is>
      </c>
      <c r="H21" s="37" t="inlineStr">
        <is>
          <t>B架-2层</t>
        </is>
      </c>
      <c r="I21" s="38">
        <f>库存总览!J12</f>
        <v/>
      </c>
      <c r="J21" s="39">
        <f>库存总览!K12</f>
        <v/>
      </c>
      <c r="K21" s="38">
        <f>库存总览!L12</f>
        <v/>
      </c>
      <c r="L21" s="40" t="inlineStr">
        <is>
          <t>充足</t>
        </is>
      </c>
      <c r="M21" s="37" t="inlineStr">
        <is>
          <t>Renoma 总代</t>
        </is>
      </c>
      <c r="N21" s="41" t="n">
        <v>3.2</v>
      </c>
      <c r="O21" s="27" t="n"/>
      <c r="P21" s="42">
        <f>IF(O21="","",O21*N21)</f>
        <v/>
      </c>
      <c r="Q21" s="37" t="n"/>
    </row>
    <row r="22" ht="24" customHeight="1">
      <c r="A22" s="36" t="n">
        <v>19</v>
      </c>
      <c r="B22" s="36" t="inlineStr">
        <is>
          <t>ST-001</t>
        </is>
      </c>
      <c r="C22" s="36" t="inlineStr">
        <is>
          <t>裤袜</t>
        </is>
      </c>
      <c r="D22" s="37" t="inlineStr">
        <is>
          <t>Gunze</t>
        </is>
      </c>
      <c r="E22" s="37" t="inlineStr">
        <is>
          <t>发热保暖连裤袜</t>
        </is>
      </c>
      <c r="F22" s="36" t="inlineStr">
        <is>
          <t>M-L</t>
        </is>
      </c>
      <c r="G22" s="36" t="inlineStr">
        <is>
          <t>黑色</t>
        </is>
      </c>
      <c r="H22" s="37" t="inlineStr">
        <is>
          <t>D架-1层</t>
        </is>
      </c>
      <c r="I22" s="38">
        <f>库存总览!J21</f>
        <v/>
      </c>
      <c r="J22" s="39">
        <f>库存总览!K21</f>
        <v/>
      </c>
      <c r="K22" s="38">
        <f>库存总览!L21</f>
        <v/>
      </c>
      <c r="L22" s="40" t="inlineStr">
        <is>
          <t>充足</t>
        </is>
      </c>
      <c r="M22" s="37" t="inlineStr">
        <is>
          <t>Gunze 日本</t>
        </is>
      </c>
      <c r="N22" s="41" t="n">
        <v>8</v>
      </c>
      <c r="O22" s="27" t="n"/>
      <c r="P22" s="42">
        <f>IF(O22="","",O22*N22)</f>
        <v/>
      </c>
      <c r="Q22" s="37" t="n"/>
    </row>
    <row r="23" ht="24" customHeight="1">
      <c r="A23" s="36" t="n">
        <v>20</v>
      </c>
      <c r="B23" s="36" t="inlineStr">
        <is>
          <t>ST-003</t>
        </is>
      </c>
      <c r="C23" s="36" t="inlineStr">
        <is>
          <t>裤袜</t>
        </is>
      </c>
      <c r="D23" s="37" t="inlineStr">
        <is>
          <t>Atsugi</t>
        </is>
      </c>
      <c r="E23" s="37" t="inlineStr">
        <is>
          <t>压力美腿连裤袜</t>
        </is>
      </c>
      <c r="F23" s="36" t="inlineStr">
        <is>
          <t>M-L</t>
        </is>
      </c>
      <c r="G23" s="36" t="inlineStr">
        <is>
          <t>肤色</t>
        </is>
      </c>
      <c r="H23" s="37" t="inlineStr">
        <is>
          <t>D架-2层</t>
        </is>
      </c>
      <c r="I23" s="38">
        <f>库存总览!J23</f>
        <v/>
      </c>
      <c r="J23" s="39">
        <f>库存总览!K23</f>
        <v/>
      </c>
      <c r="K23" s="38">
        <f>库存总览!L23</f>
        <v/>
      </c>
      <c r="L23" s="40" t="inlineStr">
        <is>
          <t>充足</t>
        </is>
      </c>
      <c r="M23" s="37" t="inlineStr">
        <is>
          <t>Atsugi 代理</t>
        </is>
      </c>
      <c r="N23" s="41" t="n">
        <v>10</v>
      </c>
      <c r="O23" s="27" t="n"/>
      <c r="P23" s="42">
        <f>IF(O23="","",O23*N23)</f>
        <v/>
      </c>
      <c r="Q23" s="37" t="n"/>
    </row>
    <row r="26" ht="28" customHeight="1">
      <c r="A26" s="43" t="inlineStr">
        <is>
          <t>📊 补货汇总</t>
        </is>
      </c>
    </row>
    <row r="27">
      <c r="O27" s="44" t="inlineStr">
        <is>
          <t>补货总数量</t>
        </is>
      </c>
      <c r="P27" s="44" t="inlineStr">
        <is>
          <t>补货总金额(SGD)</t>
        </is>
      </c>
    </row>
    <row r="28">
      <c r="O28" s="45">
        <f>SUM(O4:O23)</f>
        <v/>
      </c>
      <c r="P28" s="46">
        <f>SUM(P4:P23)</f>
        <v/>
      </c>
    </row>
    <row r="30">
      <c r="A30" s="47" t="inlineStr">
        <is>
          <t>状态统计:</t>
        </is>
      </c>
      <c r="E30" s="48" t="inlineStr">
        <is>
          <t>🔴 缺货: 10 项</t>
        </is>
      </c>
      <c r="H30" s="49" t="inlineStr">
        <is>
          <t>🟡 不足: 5 项</t>
        </is>
      </c>
      <c r="K30" s="50" t="inlineStr">
        <is>
          <t>🟢 充足: 5 项</t>
        </is>
      </c>
    </row>
  </sheetData>
  <autoFilter ref="A3:Q23"/>
  <mergeCells count="4">
    <mergeCell ref="A2:Q2"/>
    <mergeCell ref="A1:Q1"/>
    <mergeCell ref="A30:D30"/>
    <mergeCell ref="A26:Q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activeCell="A1" sqref="A1"/>
      <selection pane="bottomLeft" activeCell="L5" sqref="L5"/>
    </sheetView>
  </sheetViews>
  <sheetFormatPr baseColWidth="8" defaultColWidth="9" defaultRowHeight="14"/>
  <cols>
    <col width="12" customWidth="1" min="1" max="1"/>
    <col width="8" customWidth="1" min="2" max="2"/>
    <col width="12" customWidth="1" min="3" max="3"/>
    <col width="22" customWidth="1" min="4" max="4"/>
    <col width="8" customWidth="1" min="5" max="6"/>
    <col width="12" customWidth="1" min="7" max="7"/>
    <col width="14" customWidth="1" min="8" max="10"/>
    <col width="10" customWidth="1" min="11" max="12"/>
    <col width="20" customWidth="1" min="13" max="13"/>
  </cols>
  <sheetData>
    <row r="1" ht="36" customHeight="1">
      <c r="A1" s="1" t="inlineStr">
        <is>
          <t>商品目录 — Product Catalog</t>
        </is>
      </c>
    </row>
    <row r="2" ht="20" customHeight="1">
      <c r="A2" s="2" t="inlineStr">
        <is>
          <t>维护所有商品信息。款式+颜色+尺码为最小管理单位。新增商品在最下方添加。</t>
        </is>
      </c>
    </row>
    <row r="3" ht="28" customHeight="1">
      <c r="A3" s="3" t="inlineStr">
        <is>
          <t>商品编号</t>
        </is>
      </c>
      <c r="B3" s="3" t="inlineStr">
        <is>
          <t>品类</t>
        </is>
      </c>
      <c r="C3" s="3" t="inlineStr">
        <is>
          <t>品牌</t>
        </is>
      </c>
      <c r="D3" s="3" t="inlineStr">
        <is>
          <t>款式名称</t>
        </is>
      </c>
      <c r="E3" s="3" t="inlineStr">
        <is>
          <t>尺码</t>
        </is>
      </c>
      <c r="F3" s="3" t="inlineStr">
        <is>
          <t>颜色</t>
        </is>
      </c>
      <c r="G3" s="3" t="inlineStr">
        <is>
          <t>存放位置</t>
        </is>
      </c>
      <c r="H3" s="3" t="inlineStr">
        <is>
          <t>零售价(SGD)</t>
        </is>
      </c>
      <c r="I3" s="3" t="inlineStr">
        <is>
          <t>批发价(SGD)</t>
        </is>
      </c>
      <c r="J3" s="3" t="inlineStr">
        <is>
          <t>成本价(SGD)</t>
        </is>
      </c>
      <c r="K3" s="3" t="inlineStr">
        <is>
          <t>安全库存</t>
        </is>
      </c>
      <c r="L3" s="3" t="inlineStr">
        <is>
          <t>当前库存</t>
        </is>
      </c>
      <c r="M3" s="3" t="inlineStr">
        <is>
          <t>备注</t>
        </is>
      </c>
    </row>
    <row r="4" ht="14.5" customHeight="1">
      <c r="A4" s="12" t="inlineStr">
        <is>
          <t>BR-001</t>
        </is>
      </c>
      <c r="B4" s="12" t="inlineStr">
        <is>
          <t>内衣</t>
        </is>
      </c>
      <c r="C4" s="12" t="inlineStr">
        <is>
          <t>Triumph</t>
        </is>
      </c>
      <c r="D4" s="14" t="inlineStr">
        <is>
          <t>无钢圈舒适文胸</t>
        </is>
      </c>
      <c r="E4" s="12" t="inlineStr">
        <is>
          <t>34B</t>
        </is>
      </c>
      <c r="F4" s="12" t="inlineStr">
        <is>
          <t>黑色</t>
        </is>
      </c>
      <c r="G4" s="14" t="inlineStr">
        <is>
          <t>A架-1层</t>
        </is>
      </c>
      <c r="H4" s="5" t="n">
        <v>19.9</v>
      </c>
      <c r="I4" s="5" t="n">
        <v>16.9</v>
      </c>
      <c r="J4" s="5" t="n">
        <v>10.5</v>
      </c>
      <c r="K4" s="6" t="n">
        <v>5</v>
      </c>
      <c r="L4" s="6" t="n">
        <v>8</v>
      </c>
      <c r="M4" s="14" t="inlineStr"/>
    </row>
    <row r="5" ht="14.5" customHeight="1">
      <c r="A5" s="16" t="n"/>
      <c r="B5" s="16" t="n"/>
      <c r="C5" s="16" t="n"/>
      <c r="D5" s="16" t="n"/>
      <c r="E5" s="12" t="inlineStr">
        <is>
          <t>36B</t>
        </is>
      </c>
      <c r="F5" s="12" t="inlineStr">
        <is>
          <t>肤色</t>
        </is>
      </c>
      <c r="G5" s="16" t="n"/>
      <c r="H5" s="5" t="n">
        <v>19.9</v>
      </c>
      <c r="I5" s="5" t="n">
        <v>16.9</v>
      </c>
      <c r="J5" s="5" t="n">
        <v>10.5</v>
      </c>
      <c r="K5" s="6" t="n">
        <v>5</v>
      </c>
      <c r="L5" s="6" t="n">
        <v>3</v>
      </c>
      <c r="M5" s="14" t="inlineStr"/>
    </row>
    <row r="6" ht="14.5" customHeight="1">
      <c r="A6" s="17" t="n"/>
      <c r="B6" s="17" t="n"/>
      <c r="C6" s="17" t="n"/>
      <c r="D6" s="17" t="n"/>
      <c r="E6" s="12" t="inlineStr">
        <is>
          <t>34C</t>
        </is>
      </c>
      <c r="F6" s="12" t="inlineStr">
        <is>
          <t>黑色</t>
        </is>
      </c>
      <c r="G6" s="17" t="n"/>
      <c r="H6" s="5" t="n">
        <v>19.9</v>
      </c>
      <c r="I6" s="5" t="n">
        <v>16.9</v>
      </c>
      <c r="J6" s="5" t="n">
        <v>10.5</v>
      </c>
      <c r="K6" s="6" t="n">
        <v>5</v>
      </c>
      <c r="L6" s="6" t="n">
        <v>6</v>
      </c>
      <c r="M6" s="14" t="inlineStr"/>
    </row>
    <row r="7" ht="14.5" customHeight="1">
      <c r="A7" s="12" t="inlineStr">
        <is>
          <t>BR-004</t>
        </is>
      </c>
      <c r="B7" s="12" t="inlineStr">
        <is>
          <t>内衣</t>
        </is>
      </c>
      <c r="C7" s="12" t="inlineStr">
        <is>
          <t>Wacoal</t>
        </is>
      </c>
      <c r="D7" s="14" t="inlineStr">
        <is>
          <t>聚拢调整型文胸</t>
        </is>
      </c>
      <c r="E7" s="12" t="inlineStr">
        <is>
          <t>34B</t>
        </is>
      </c>
      <c r="F7" s="12" t="inlineStr">
        <is>
          <t>黑色</t>
        </is>
      </c>
      <c r="G7" s="14" t="inlineStr">
        <is>
          <t>A架-2层</t>
        </is>
      </c>
      <c r="H7" s="5" t="n">
        <v>25.9</v>
      </c>
      <c r="I7" s="5" t="n">
        <v>22</v>
      </c>
      <c r="J7" s="5" t="n">
        <v>14</v>
      </c>
      <c r="K7" s="6" t="n">
        <v>3</v>
      </c>
      <c r="L7" s="6" t="n">
        <v>4</v>
      </c>
      <c r="M7" s="14" t="inlineStr"/>
    </row>
    <row r="8" ht="14.5" customHeight="1">
      <c r="A8" s="17" t="n"/>
      <c r="B8" s="17" t="n"/>
      <c r="C8" s="17" t="n"/>
      <c r="D8" s="17" t="n"/>
      <c r="E8" s="12" t="inlineStr">
        <is>
          <t>36C</t>
        </is>
      </c>
      <c r="F8" s="12" t="inlineStr">
        <is>
          <t>肤色</t>
        </is>
      </c>
      <c r="G8" s="17" t="n"/>
      <c r="H8" s="5" t="n">
        <v>25.9</v>
      </c>
      <c r="I8" s="5" t="n">
        <v>22</v>
      </c>
      <c r="J8" s="5" t="n">
        <v>14</v>
      </c>
      <c r="K8" s="6" t="n">
        <v>3</v>
      </c>
      <c r="L8" s="6" t="n">
        <v>2</v>
      </c>
      <c r="M8" s="14" t="inlineStr"/>
    </row>
    <row r="9" ht="14.5" customHeight="1">
      <c r="A9" s="12" t="inlineStr">
        <is>
          <t>UN-001</t>
        </is>
      </c>
      <c r="B9" s="12" t="inlineStr">
        <is>
          <t>内裤</t>
        </is>
      </c>
      <c r="C9" s="12" t="inlineStr">
        <is>
          <t>Byford</t>
        </is>
      </c>
      <c r="D9" s="14" t="inlineStr">
        <is>
          <t>纯棉平角内裤(男)</t>
        </is>
      </c>
      <c r="E9" s="12" t="inlineStr">
        <is>
          <t>M</t>
        </is>
      </c>
      <c r="F9" s="12" t="inlineStr">
        <is>
          <t>灰色</t>
        </is>
      </c>
      <c r="G9" s="14" t="inlineStr">
        <is>
          <t>B架-1层</t>
        </is>
      </c>
      <c r="H9" s="5" t="n">
        <v>8.9</v>
      </c>
      <c r="I9" s="5" t="n">
        <v>7.5</v>
      </c>
      <c r="J9" s="5" t="n">
        <v>4.5</v>
      </c>
      <c r="K9" s="6" t="n">
        <v>10</v>
      </c>
      <c r="L9" s="6" t="n">
        <v>15</v>
      </c>
      <c r="M9" s="14" t="inlineStr">
        <is>
          <t>畅销款🔥</t>
        </is>
      </c>
    </row>
    <row r="10" ht="14.5" customHeight="1">
      <c r="A10" s="16" t="n"/>
      <c r="B10" s="16" t="n"/>
      <c r="C10" s="16" t="n"/>
      <c r="D10" s="16" t="n"/>
      <c r="E10" s="12" t="inlineStr">
        <is>
          <t>L</t>
        </is>
      </c>
      <c r="F10" s="12" t="inlineStr">
        <is>
          <t>灰色</t>
        </is>
      </c>
      <c r="G10" s="16" t="n"/>
      <c r="H10" s="5" t="n">
        <v>8.9</v>
      </c>
      <c r="I10" s="5" t="n">
        <v>7.5</v>
      </c>
      <c r="J10" s="5" t="n">
        <v>4.5</v>
      </c>
      <c r="K10" s="6" t="n">
        <v>10</v>
      </c>
      <c r="L10" s="6" t="n">
        <v>12</v>
      </c>
      <c r="M10" s="14" t="inlineStr">
        <is>
          <t>畅销款🔥</t>
        </is>
      </c>
    </row>
    <row r="11" ht="14.5" customHeight="1">
      <c r="A11" s="17" t="n"/>
      <c r="B11" s="17" t="n"/>
      <c r="C11" s="17" t="n"/>
      <c r="D11" s="17" t="n"/>
      <c r="E11" s="12" t="inlineStr">
        <is>
          <t>XL</t>
        </is>
      </c>
      <c r="F11" s="12" t="inlineStr">
        <is>
          <t>黑色</t>
        </is>
      </c>
      <c r="G11" s="17" t="n"/>
      <c r="H11" s="5" t="n">
        <v>8.9</v>
      </c>
      <c r="I11" s="5" t="n">
        <v>7.5</v>
      </c>
      <c r="J11" s="5" t="n">
        <v>4.5</v>
      </c>
      <c r="K11" s="6" t="n">
        <v>10</v>
      </c>
      <c r="L11" s="6" t="n">
        <v>8</v>
      </c>
      <c r="M11" s="14" t="inlineStr"/>
    </row>
    <row r="12" ht="14.5" customHeight="1">
      <c r="A12" s="12" t="inlineStr">
        <is>
          <t>UN-004</t>
        </is>
      </c>
      <c r="B12" s="12" t="inlineStr">
        <is>
          <t>内裤</t>
        </is>
      </c>
      <c r="C12" s="12" t="inlineStr">
        <is>
          <t>Renoma</t>
        </is>
      </c>
      <c r="D12" s="14" t="inlineStr">
        <is>
          <t>冰丝三角内裤(男)</t>
        </is>
      </c>
      <c r="E12" s="12" t="inlineStr">
        <is>
          <t>M</t>
        </is>
      </c>
      <c r="F12" s="12" t="inlineStr">
        <is>
          <t>蓝色</t>
        </is>
      </c>
      <c r="G12" s="14" t="inlineStr">
        <is>
          <t>B架-2层</t>
        </is>
      </c>
      <c r="H12" s="5" t="n">
        <v>6.5</v>
      </c>
      <c r="I12" s="5" t="n">
        <v>5.5</v>
      </c>
      <c r="J12" s="5" t="n">
        <v>3.2</v>
      </c>
      <c r="K12" s="6" t="n">
        <v>10</v>
      </c>
      <c r="L12" s="6" t="n">
        <v>6</v>
      </c>
      <c r="M12" s="14" t="inlineStr"/>
    </row>
    <row r="13" ht="14.5" customHeight="1">
      <c r="A13" s="17" t="n"/>
      <c r="B13" s="17" t="n"/>
      <c r="C13" s="17" t="n"/>
      <c r="D13" s="17" t="n"/>
      <c r="E13" s="12" t="inlineStr">
        <is>
          <t>L</t>
        </is>
      </c>
      <c r="F13" s="12" t="inlineStr">
        <is>
          <t>黑色</t>
        </is>
      </c>
      <c r="G13" s="17" t="n"/>
      <c r="H13" s="5" t="n">
        <v>6.5</v>
      </c>
      <c r="I13" s="5" t="n">
        <v>5.5</v>
      </c>
      <c r="J13" s="5" t="n">
        <v>3.2</v>
      </c>
      <c r="K13" s="6" t="n">
        <v>10</v>
      </c>
      <c r="L13" s="6" t="n">
        <v>10</v>
      </c>
      <c r="M13" s="14" t="inlineStr"/>
    </row>
    <row r="14" ht="14.5" customHeight="1">
      <c r="A14" s="12" t="inlineStr">
        <is>
          <t>UN-006</t>
        </is>
      </c>
      <c r="B14" s="12" t="inlineStr">
        <is>
          <t>内裤</t>
        </is>
      </c>
      <c r="C14" s="12" t="inlineStr">
        <is>
          <t>Triumph</t>
        </is>
      </c>
      <c r="D14" s="14" t="inlineStr">
        <is>
          <t>蕾丝三角内裤(女)</t>
        </is>
      </c>
      <c r="E14" s="12" t="inlineStr">
        <is>
          <t>M</t>
        </is>
      </c>
      <c r="F14" s="12" t="inlineStr">
        <is>
          <t>粉色</t>
        </is>
      </c>
      <c r="G14" s="14" t="inlineStr">
        <is>
          <t>B架-3层</t>
        </is>
      </c>
      <c r="H14" s="5" t="n">
        <v>7.9</v>
      </c>
      <c r="I14" s="5" t="n">
        <v>6.5</v>
      </c>
      <c r="J14" s="5" t="n">
        <v>3.8</v>
      </c>
      <c r="K14" s="6" t="n">
        <v>10</v>
      </c>
      <c r="L14" s="6" t="n">
        <v>5</v>
      </c>
      <c r="M14" s="14" t="inlineStr"/>
    </row>
    <row r="15" ht="14.5" customHeight="1">
      <c r="A15" s="17" t="n"/>
      <c r="B15" s="17" t="n"/>
      <c r="C15" s="17" t="n"/>
      <c r="D15" s="17" t="n"/>
      <c r="E15" s="12" t="inlineStr">
        <is>
          <t>L</t>
        </is>
      </c>
      <c r="F15" s="12" t="inlineStr">
        <is>
          <t>肤色</t>
        </is>
      </c>
      <c r="G15" s="17" t="n"/>
      <c r="H15" s="5" t="n">
        <v>7.9</v>
      </c>
      <c r="I15" s="5" t="n">
        <v>6.5</v>
      </c>
      <c r="J15" s="5" t="n">
        <v>3.8</v>
      </c>
      <c r="K15" s="6" t="n">
        <v>10</v>
      </c>
      <c r="L15" s="6" t="n">
        <v>7</v>
      </c>
      <c r="M15" s="14" t="inlineStr"/>
    </row>
    <row r="16" ht="14.5" customHeight="1">
      <c r="A16" s="12" t="inlineStr">
        <is>
          <t>SK-001</t>
        </is>
      </c>
      <c r="B16" s="12" t="inlineStr">
        <is>
          <t>袜子</t>
        </is>
      </c>
      <c r="C16" s="12" t="inlineStr">
        <is>
          <t>Goldlion</t>
        </is>
      </c>
      <c r="D16" s="14" t="inlineStr">
        <is>
          <t>商务棉袜 3双装</t>
        </is>
      </c>
      <c r="E16" s="12" t="inlineStr">
        <is>
          <t>均码</t>
        </is>
      </c>
      <c r="F16" s="12" t="inlineStr">
        <is>
          <t>黑色</t>
        </is>
      </c>
      <c r="G16" s="14" t="inlineStr">
        <is>
          <t>C架-1层</t>
        </is>
      </c>
      <c r="H16" s="5" t="n">
        <v>5.5</v>
      </c>
      <c r="I16" s="5" t="n">
        <v>4.6</v>
      </c>
      <c r="J16" s="5" t="n">
        <v>2.5</v>
      </c>
      <c r="K16" s="6" t="n">
        <v>15</v>
      </c>
      <c r="L16" s="6" t="n">
        <v>20</v>
      </c>
      <c r="M16" s="14" t="inlineStr">
        <is>
          <t>3双装</t>
        </is>
      </c>
    </row>
    <row r="17" ht="14.5" customHeight="1">
      <c r="A17" s="17" t="n"/>
      <c r="B17" s="17" t="n"/>
      <c r="C17" s="17" t="n"/>
      <c r="D17" s="17" t="n"/>
      <c r="E17" s="12" t="inlineStr">
        <is>
          <t>均码</t>
        </is>
      </c>
      <c r="F17" s="12" t="inlineStr">
        <is>
          <t>深灰</t>
        </is>
      </c>
      <c r="G17" s="17" t="n"/>
      <c r="H17" s="5" t="n">
        <v>5.5</v>
      </c>
      <c r="I17" s="5" t="n">
        <v>4.6</v>
      </c>
      <c r="J17" s="5" t="n">
        <v>2.5</v>
      </c>
      <c r="K17" s="6" t="n">
        <v>15</v>
      </c>
      <c r="L17" s="6" t="n">
        <v>12</v>
      </c>
      <c r="M17" s="14" t="inlineStr">
        <is>
          <t>3双装</t>
        </is>
      </c>
    </row>
    <row r="18" ht="14.5" customHeight="1">
      <c r="A18" s="12" t="inlineStr">
        <is>
          <t>SK-003</t>
        </is>
      </c>
      <c r="B18" s="12" t="inlineStr">
        <is>
          <t>袜子</t>
        </is>
      </c>
      <c r="C18" s="12" t="inlineStr">
        <is>
          <t>Puma</t>
        </is>
      </c>
      <c r="D18" s="14" t="inlineStr">
        <is>
          <t>运动短袜(男)</t>
        </is>
      </c>
      <c r="E18" s="12" t="inlineStr">
        <is>
          <t>均码</t>
        </is>
      </c>
      <c r="F18" s="12" t="inlineStr">
        <is>
          <t>白色</t>
        </is>
      </c>
      <c r="G18" s="14" t="inlineStr">
        <is>
          <t>C架-2层</t>
        </is>
      </c>
      <c r="H18" s="5" t="n">
        <v>6.9</v>
      </c>
      <c r="I18" s="5" t="n">
        <v>5.8</v>
      </c>
      <c r="J18" s="5" t="n">
        <v>3</v>
      </c>
      <c r="K18" s="6" t="n">
        <v>15</v>
      </c>
      <c r="L18" s="6" t="n">
        <v>8</v>
      </c>
      <c r="M18" s="14" t="inlineStr"/>
    </row>
    <row r="19" ht="14.5" customHeight="1">
      <c r="A19" s="12" t="inlineStr">
        <is>
          <t>SK-004</t>
        </is>
      </c>
      <c r="B19" s="12" t="inlineStr">
        <is>
          <t>袜子</t>
        </is>
      </c>
      <c r="C19" s="12" t="inlineStr">
        <is>
          <t>Puma</t>
        </is>
      </c>
      <c r="D19" s="14" t="inlineStr">
        <is>
          <t>运动短袜(女)</t>
        </is>
      </c>
      <c r="E19" s="12" t="inlineStr">
        <is>
          <t>均码</t>
        </is>
      </c>
      <c r="F19" s="12" t="inlineStr">
        <is>
          <t>白色</t>
        </is>
      </c>
      <c r="G19" s="14" t="inlineStr">
        <is>
          <t>C架-2层</t>
        </is>
      </c>
      <c r="H19" s="5" t="n">
        <v>6.9</v>
      </c>
      <c r="I19" s="5" t="n">
        <v>5.8</v>
      </c>
      <c r="J19" s="5" t="n">
        <v>3</v>
      </c>
      <c r="K19" s="6" t="n">
        <v>15</v>
      </c>
      <c r="L19" s="6" t="n">
        <v>10</v>
      </c>
      <c r="M19" s="14" t="inlineStr"/>
    </row>
    <row r="20" ht="14.5" customHeight="1">
      <c r="A20" s="12" t="inlineStr">
        <is>
          <t>SK-005</t>
        </is>
      </c>
      <c r="B20" s="12" t="inlineStr">
        <is>
          <t>袜子</t>
        </is>
      </c>
      <c r="C20" s="12" t="inlineStr">
        <is>
          <t>Happy Socks</t>
        </is>
      </c>
      <c r="D20" s="14" t="inlineStr">
        <is>
          <t>彩色棉袜(女)</t>
        </is>
      </c>
      <c r="E20" s="12" t="inlineStr">
        <is>
          <t>均码</t>
        </is>
      </c>
      <c r="F20" s="12" t="inlineStr">
        <is>
          <t>花色</t>
        </is>
      </c>
      <c r="G20" s="14" t="inlineStr">
        <is>
          <t>C架-3层</t>
        </is>
      </c>
      <c r="H20" s="5" t="n">
        <v>7.9</v>
      </c>
      <c r="I20" s="5" t="n">
        <v>6.5</v>
      </c>
      <c r="J20" s="5" t="n">
        <v>3.5</v>
      </c>
      <c r="K20" s="6" t="n">
        <v>10</v>
      </c>
      <c r="L20" s="6" t="n">
        <v>4</v>
      </c>
      <c r="M20" s="14" t="inlineStr"/>
    </row>
    <row r="21" ht="14.5" customHeight="1">
      <c r="A21" s="12" t="inlineStr">
        <is>
          <t>ST-001</t>
        </is>
      </c>
      <c r="B21" s="12" t="inlineStr">
        <is>
          <t>裤袜</t>
        </is>
      </c>
      <c r="C21" s="12" t="inlineStr">
        <is>
          <t>Gunze</t>
        </is>
      </c>
      <c r="D21" s="14" t="inlineStr">
        <is>
          <t>发热保暖连裤袜</t>
        </is>
      </c>
      <c r="E21" s="12" t="inlineStr">
        <is>
          <t>M-L</t>
        </is>
      </c>
      <c r="F21" s="12" t="inlineStr">
        <is>
          <t>黑色</t>
        </is>
      </c>
      <c r="G21" s="14" t="inlineStr">
        <is>
          <t>D架-1层</t>
        </is>
      </c>
      <c r="H21" s="5" t="n">
        <v>15.9</v>
      </c>
      <c r="I21" s="5" t="n">
        <v>13.5</v>
      </c>
      <c r="J21" s="5" t="n">
        <v>8</v>
      </c>
      <c r="K21" s="6" t="n">
        <v>5</v>
      </c>
      <c r="L21" s="6" t="n">
        <v>3</v>
      </c>
      <c r="M21" s="14" t="inlineStr">
        <is>
          <t>日本制</t>
        </is>
      </c>
    </row>
    <row r="22" ht="14.5" customHeight="1">
      <c r="A22" s="17" t="n"/>
      <c r="B22" s="17" t="n"/>
      <c r="C22" s="17" t="n"/>
      <c r="D22" s="17" t="n"/>
      <c r="E22" s="12" t="inlineStr">
        <is>
          <t>L-LL</t>
        </is>
      </c>
      <c r="F22" s="12" t="inlineStr">
        <is>
          <t>深灰</t>
        </is>
      </c>
      <c r="G22" s="17" t="n"/>
      <c r="H22" s="5" t="n">
        <v>15.9</v>
      </c>
      <c r="I22" s="5" t="n">
        <v>13.5</v>
      </c>
      <c r="J22" s="5" t="n">
        <v>8</v>
      </c>
      <c r="K22" s="6" t="n">
        <v>5</v>
      </c>
      <c r="L22" s="6" t="n">
        <v>5</v>
      </c>
      <c r="M22" s="14" t="inlineStr">
        <is>
          <t>日本制</t>
        </is>
      </c>
    </row>
    <row r="23" ht="14.5" customHeight="1">
      <c r="A23" s="12" t="inlineStr">
        <is>
          <t>ST-003</t>
        </is>
      </c>
      <c r="B23" s="12" t="inlineStr">
        <is>
          <t>裤袜</t>
        </is>
      </c>
      <c r="C23" s="12" t="inlineStr">
        <is>
          <t>Atsugi</t>
        </is>
      </c>
      <c r="D23" s="14" t="inlineStr">
        <is>
          <t>压力美腿连裤袜</t>
        </is>
      </c>
      <c r="E23" s="12" t="inlineStr">
        <is>
          <t>M-L</t>
        </is>
      </c>
      <c r="F23" s="12" t="inlineStr">
        <is>
          <t>肤色</t>
        </is>
      </c>
      <c r="G23" s="14" t="inlineStr">
        <is>
          <t>D架-2层</t>
        </is>
      </c>
      <c r="H23" s="5" t="n">
        <v>18.9</v>
      </c>
      <c r="I23" s="5" t="n">
        <v>16</v>
      </c>
      <c r="J23" s="5" t="n">
        <v>10</v>
      </c>
      <c r="K23" s="6" t="n">
        <v>3</v>
      </c>
      <c r="L23" s="6" t="n">
        <v>2</v>
      </c>
      <c r="M23" s="14" t="inlineStr"/>
    </row>
  </sheetData>
  <mergeCells count="37">
    <mergeCell ref="D4:D6"/>
    <mergeCell ref="B12:B13"/>
    <mergeCell ref="D21:D22"/>
    <mergeCell ref="A7:A8"/>
    <mergeCell ref="G7:G8"/>
    <mergeCell ref="C9:C11"/>
    <mergeCell ref="A16:A17"/>
    <mergeCell ref="C16:C17"/>
    <mergeCell ref="B14:B15"/>
    <mergeCell ref="G4:G6"/>
    <mergeCell ref="D9:D11"/>
    <mergeCell ref="A1:N1"/>
    <mergeCell ref="A4:A6"/>
    <mergeCell ref="G9:G11"/>
    <mergeCell ref="B4:B6"/>
    <mergeCell ref="A12:A13"/>
    <mergeCell ref="C12:C13"/>
    <mergeCell ref="C21:C22"/>
    <mergeCell ref="D7:D8"/>
    <mergeCell ref="D16:D17"/>
    <mergeCell ref="D12:D13"/>
    <mergeCell ref="A14:A15"/>
    <mergeCell ref="A9:A11"/>
    <mergeCell ref="A21:A22"/>
    <mergeCell ref="G14:G15"/>
    <mergeCell ref="A2:N2"/>
    <mergeCell ref="C7:C8"/>
    <mergeCell ref="G16:G17"/>
    <mergeCell ref="D14:D15"/>
    <mergeCell ref="C4:C6"/>
    <mergeCell ref="G12:G13"/>
    <mergeCell ref="B7:B8"/>
    <mergeCell ref="G21:G22"/>
    <mergeCell ref="B9:B11"/>
    <mergeCell ref="B16:B17"/>
    <mergeCell ref="B21:B22"/>
    <mergeCell ref="C14:C15"/>
  </mergeCells>
  <conditionalFormatting sqref="L4:L200">
    <cfRule type="cellIs" priority="1" operator="lessThan" dxfId="0">
      <formula>K4</formula>
    </cfRule>
  </conditionalFormatting>
  <dataValidations count="1">
    <dataValidation sqref="B4:B200" showDropDown="0" showInputMessage="0" showErrorMessage="0" allowBlank="1" error="请选择：内衣/内裤/袜子/裤袜" type="list">
      <formula1>"内衣,内裤,袜子,裤袜"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pane ySplit="3" topLeftCell="A7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1"/>
    <col width="8" customWidth="1" min="2" max="2"/>
    <col width="12" customWidth="1" min="3" max="3"/>
    <col width="22" customWidth="1" min="4" max="4"/>
    <col width="8" customWidth="1" min="5" max="6"/>
    <col width="12" customWidth="1" min="7" max="7"/>
    <col width="10" customWidth="1" min="8" max="11"/>
    <col width="12" customWidth="1" min="12" max="13"/>
  </cols>
  <sheetData>
    <row r="1" ht="36" customHeight="1">
      <c r="A1" s="1" t="inlineStr">
        <is>
          <t>库存总览 — Inventory Overview</t>
        </is>
      </c>
    </row>
    <row r="2" ht="20" customHeight="1">
      <c r="A2" s="2" t="inlineStr">
        <is>
          <t>全自动汇总。进货量取自进货单，已售量取自销售开单。低于安全库存自动标红并建议补货。</t>
        </is>
      </c>
    </row>
    <row r="3" ht="28" customHeight="1">
      <c r="A3" s="3" t="inlineStr">
        <is>
          <t>商品编号</t>
        </is>
      </c>
      <c r="B3" s="3" t="inlineStr">
        <is>
          <t>品类</t>
        </is>
      </c>
      <c r="C3" s="3" t="inlineStr">
        <is>
          <t>品牌</t>
        </is>
      </c>
      <c r="D3" s="3" t="inlineStr">
        <is>
          <t>款式名称</t>
        </is>
      </c>
      <c r="E3" s="3" t="inlineStr">
        <is>
          <t>尺码</t>
        </is>
      </c>
      <c r="F3" s="3" t="inlineStr">
        <is>
          <t>颜色</t>
        </is>
      </c>
      <c r="G3" s="3" t="inlineStr">
        <is>
          <t>存放位置</t>
        </is>
      </c>
      <c r="H3" s="3" t="inlineStr">
        <is>
          <t>总进货量</t>
        </is>
      </c>
      <c r="I3" s="3" t="inlineStr">
        <is>
          <t>已售数量</t>
        </is>
      </c>
      <c r="J3" s="3" t="inlineStr">
        <is>
          <t>当前库存</t>
        </is>
      </c>
      <c r="K3" s="3" t="inlineStr">
        <is>
          <t>安全库存</t>
        </is>
      </c>
      <c r="L3" s="3" t="inlineStr">
        <is>
          <t>建议补货量</t>
        </is>
      </c>
      <c r="M3" s="3" t="inlineStr">
        <is>
          <t>库存状态</t>
        </is>
      </c>
    </row>
    <row r="4" ht="14.5" customHeight="1">
      <c r="A4" s="13" t="inlineStr">
        <is>
          <t>BR-001</t>
        </is>
      </c>
      <c r="B4" s="12" t="inlineStr">
        <is>
          <t>内衣</t>
        </is>
      </c>
      <c r="C4" s="12" t="inlineStr">
        <is>
          <t>Triumph</t>
        </is>
      </c>
      <c r="D4" s="14" t="inlineStr">
        <is>
          <t>无钢圈舒适文胸</t>
        </is>
      </c>
      <c r="E4" s="12" t="inlineStr">
        <is>
          <t>34B</t>
        </is>
      </c>
      <c r="F4" s="12" t="inlineStr">
        <is>
          <t>黑色</t>
        </is>
      </c>
      <c r="G4" s="14" t="inlineStr">
        <is>
          <t>A架-1层</t>
        </is>
      </c>
      <c r="H4" s="6">
        <f>SUMIF(进货单!D:D,A4,进货单!I:I)</f>
        <v/>
      </c>
      <c r="I4" s="6">
        <f>SUMIF(销售开单!E:E,A4,销售开单!I:I)</f>
        <v/>
      </c>
      <c r="J4" s="6">
        <f>H4-I4</f>
        <v/>
      </c>
      <c r="K4" s="6" t="n">
        <v>5</v>
      </c>
      <c r="L4" s="6">
        <f>IF(J4&lt;K4,K4*2-J4,0)</f>
        <v/>
      </c>
      <c r="M4" s="4">
        <f>IF(J4&lt;=0,"缺货",IF(J4&lt;K4,"不足","充足"))</f>
        <v/>
      </c>
    </row>
    <row r="5" ht="14.5" customHeight="1">
      <c r="A5" s="16" t="n"/>
      <c r="B5" s="16" t="n"/>
      <c r="C5" s="16" t="n"/>
      <c r="D5" s="16" t="n"/>
      <c r="E5" s="12" t="inlineStr">
        <is>
          <t>36B</t>
        </is>
      </c>
      <c r="F5" s="12" t="inlineStr">
        <is>
          <t>肤色</t>
        </is>
      </c>
      <c r="G5" s="16" t="n"/>
      <c r="H5" s="6">
        <f>SUMIF(进货单!D:D,A5,进货单!I:I)</f>
        <v/>
      </c>
      <c r="I5" s="6">
        <f>SUMIF(销售开单!E:E,A5,销售开单!I:I)</f>
        <v/>
      </c>
      <c r="J5" s="6">
        <f>H5-I5</f>
        <v/>
      </c>
      <c r="K5" s="6" t="n">
        <v>5</v>
      </c>
      <c r="L5" s="6">
        <f>IF(J5&lt;K5,K5*2-J5,0)</f>
        <v/>
      </c>
      <c r="M5" s="4">
        <f>IF(J5&lt;=0,"缺货",IF(J5&lt;K5,"不足","充足"))</f>
        <v/>
      </c>
    </row>
    <row r="6" ht="14.5" customHeight="1">
      <c r="A6" s="17" t="n"/>
      <c r="B6" s="17" t="n"/>
      <c r="C6" s="17" t="n"/>
      <c r="D6" s="17" t="n"/>
      <c r="E6" s="12" t="inlineStr">
        <is>
          <t>34C</t>
        </is>
      </c>
      <c r="F6" s="12" t="inlineStr">
        <is>
          <t>黑色</t>
        </is>
      </c>
      <c r="G6" s="17" t="n"/>
      <c r="H6" s="6">
        <f>SUMIF(进货单!D:D,A6,进货单!I:I)</f>
        <v/>
      </c>
      <c r="I6" s="6">
        <f>SUMIF(销售开单!E:E,A6,销售开单!I:I)</f>
        <v/>
      </c>
      <c r="J6" s="6">
        <f>H6-I6</f>
        <v/>
      </c>
      <c r="K6" s="6" t="n">
        <v>5</v>
      </c>
      <c r="L6" s="6">
        <f>IF(J6&lt;K6,K6*2-J6,0)</f>
        <v/>
      </c>
      <c r="M6" s="4">
        <f>IF(J6&lt;=0,"缺货",IF(J6&lt;K6,"不足","充足"))</f>
        <v/>
      </c>
    </row>
    <row r="7" ht="14.5" customHeight="1">
      <c r="A7" s="13" t="inlineStr">
        <is>
          <t>BR-004</t>
        </is>
      </c>
      <c r="B7" s="12" t="inlineStr">
        <is>
          <t>内衣</t>
        </is>
      </c>
      <c r="C7" s="12" t="inlineStr">
        <is>
          <t>Wacoal</t>
        </is>
      </c>
      <c r="D7" s="14" t="inlineStr">
        <is>
          <t>聚拢调整型文胸</t>
        </is>
      </c>
      <c r="E7" s="12" t="inlineStr">
        <is>
          <t>34B</t>
        </is>
      </c>
      <c r="F7" s="12" t="inlineStr">
        <is>
          <t>黑色</t>
        </is>
      </c>
      <c r="G7" s="14" t="inlineStr">
        <is>
          <t>A架-2层</t>
        </is>
      </c>
      <c r="H7" s="6">
        <f>SUMIF(进货单!D:D,A7,进货单!I:I)</f>
        <v/>
      </c>
      <c r="I7" s="6">
        <f>SUMIF(销售开单!E:E,A7,销售开单!I:I)</f>
        <v/>
      </c>
      <c r="J7" s="6">
        <f>H7-I7</f>
        <v/>
      </c>
      <c r="K7" s="6" t="n">
        <v>3</v>
      </c>
      <c r="L7" s="6">
        <f>IF(J7&lt;K7,K7*2-J7,0)</f>
        <v/>
      </c>
      <c r="M7" s="4">
        <f>IF(J7&lt;=0,"缺货",IF(J7&lt;K7,"不足","充足"))</f>
        <v/>
      </c>
    </row>
    <row r="8" ht="14.5" customHeight="1">
      <c r="A8" s="17" t="n"/>
      <c r="B8" s="17" t="n"/>
      <c r="C8" s="17" t="n"/>
      <c r="D8" s="17" t="n"/>
      <c r="E8" s="12" t="inlineStr">
        <is>
          <t>36C</t>
        </is>
      </c>
      <c r="F8" s="12" t="inlineStr">
        <is>
          <t>肤色</t>
        </is>
      </c>
      <c r="G8" s="17" t="n"/>
      <c r="H8" s="6">
        <f>SUMIF(进货单!D:D,A8,进货单!I:I)</f>
        <v/>
      </c>
      <c r="I8" s="6">
        <f>SUMIF(销售开单!E:E,A8,销售开单!I:I)</f>
        <v/>
      </c>
      <c r="J8" s="6">
        <f>H8-I8</f>
        <v/>
      </c>
      <c r="K8" s="6" t="n">
        <v>3</v>
      </c>
      <c r="L8" s="6">
        <f>IF(J8&lt;K8,K8*2-J8,0)</f>
        <v/>
      </c>
      <c r="M8" s="4">
        <f>IF(J8&lt;=0,"缺货",IF(J8&lt;K8,"不足","充足"))</f>
        <v/>
      </c>
    </row>
    <row r="9" ht="14.5" customHeight="1">
      <c r="A9" s="13" t="inlineStr">
        <is>
          <t>UN-001</t>
        </is>
      </c>
      <c r="B9" s="12" t="inlineStr">
        <is>
          <t>内裤</t>
        </is>
      </c>
      <c r="C9" s="12" t="inlineStr">
        <is>
          <t>Byford</t>
        </is>
      </c>
      <c r="D9" s="14" t="inlineStr">
        <is>
          <t>纯棉平角内裤(男)</t>
        </is>
      </c>
      <c r="E9" s="12" t="inlineStr">
        <is>
          <t>M</t>
        </is>
      </c>
      <c r="F9" s="12" t="inlineStr">
        <is>
          <t>灰色</t>
        </is>
      </c>
      <c r="G9" s="14" t="inlineStr">
        <is>
          <t>B架-1层</t>
        </is>
      </c>
      <c r="H9" s="6">
        <f>SUMIF(进货单!D:D,A9,进货单!I:I)</f>
        <v/>
      </c>
      <c r="I9" s="6">
        <f>SUMIF(销售开单!E:E,A9,销售开单!I:I)</f>
        <v/>
      </c>
      <c r="J9" s="6">
        <f>H9-I9</f>
        <v/>
      </c>
      <c r="K9" s="6" t="n">
        <v>10</v>
      </c>
      <c r="L9" s="6">
        <f>IF(J9&lt;K9,K9*2-J9,0)</f>
        <v/>
      </c>
      <c r="M9" s="4">
        <f>IF(J9&lt;=0,"缺货",IF(J9&lt;K9,"不足","充足"))</f>
        <v/>
      </c>
    </row>
    <row r="10" ht="14.5" customHeight="1">
      <c r="A10" s="16" t="n"/>
      <c r="B10" s="16" t="n"/>
      <c r="C10" s="16" t="n"/>
      <c r="D10" s="16" t="n"/>
      <c r="E10" s="12" t="inlineStr">
        <is>
          <t>L</t>
        </is>
      </c>
      <c r="F10" s="12" t="inlineStr">
        <is>
          <t>灰色</t>
        </is>
      </c>
      <c r="G10" s="16" t="n"/>
      <c r="H10" s="6">
        <f>SUMIF(进货单!D:D,A10,进货单!I:I)</f>
        <v/>
      </c>
      <c r="I10" s="6">
        <f>SUMIF(销售开单!E:E,A10,销售开单!I:I)</f>
        <v/>
      </c>
      <c r="J10" s="6">
        <f>H10-I10</f>
        <v/>
      </c>
      <c r="K10" s="6" t="n">
        <v>10</v>
      </c>
      <c r="L10" s="6">
        <f>IF(J10&lt;K10,K10*2-J10,0)</f>
        <v/>
      </c>
      <c r="M10" s="4">
        <f>IF(J10&lt;=0,"缺货",IF(J10&lt;K10,"不足","充足"))</f>
        <v/>
      </c>
    </row>
    <row r="11" ht="14.5" customHeight="1">
      <c r="A11" s="17" t="n"/>
      <c r="B11" s="17" t="n"/>
      <c r="C11" s="17" t="n"/>
      <c r="D11" s="17" t="n"/>
      <c r="E11" s="12" t="inlineStr">
        <is>
          <t>XL</t>
        </is>
      </c>
      <c r="F11" s="12" t="inlineStr">
        <is>
          <t>黑色</t>
        </is>
      </c>
      <c r="G11" s="17" t="n"/>
      <c r="H11" s="6">
        <f>SUMIF(进货单!D:D,A11,进货单!I:I)</f>
        <v/>
      </c>
      <c r="I11" s="6">
        <f>SUMIF(销售开单!E:E,A11,销售开单!I:I)</f>
        <v/>
      </c>
      <c r="J11" s="6">
        <f>H11-I11</f>
        <v/>
      </c>
      <c r="K11" s="6" t="n">
        <v>10</v>
      </c>
      <c r="L11" s="6">
        <f>IF(J11&lt;K11,K11*2-J11,0)</f>
        <v/>
      </c>
      <c r="M11" s="4">
        <f>IF(J11&lt;=0,"缺货",IF(J11&lt;K11,"不足","充足"))</f>
        <v/>
      </c>
    </row>
    <row r="12" ht="14.5" customHeight="1">
      <c r="A12" s="13" t="inlineStr">
        <is>
          <t>UN-004</t>
        </is>
      </c>
      <c r="B12" s="12" t="inlineStr">
        <is>
          <t>内裤</t>
        </is>
      </c>
      <c r="C12" s="12" t="inlineStr">
        <is>
          <t>Renoma</t>
        </is>
      </c>
      <c r="D12" s="14" t="inlineStr">
        <is>
          <t>冰丝三角内裤(男)</t>
        </is>
      </c>
      <c r="E12" s="12" t="inlineStr">
        <is>
          <t>M</t>
        </is>
      </c>
      <c r="F12" s="12" t="inlineStr">
        <is>
          <t>蓝色</t>
        </is>
      </c>
      <c r="G12" s="14" t="inlineStr">
        <is>
          <t>B架-2层</t>
        </is>
      </c>
      <c r="H12" s="6">
        <f>SUMIF(进货单!D:D,A12,进货单!I:I)</f>
        <v/>
      </c>
      <c r="I12" s="6">
        <f>SUMIF(销售开单!E:E,A12,销售开单!I:I)</f>
        <v/>
      </c>
      <c r="J12" s="6">
        <f>H12-I12</f>
        <v/>
      </c>
      <c r="K12" s="6" t="n">
        <v>10</v>
      </c>
      <c r="L12" s="6">
        <f>IF(J12&lt;K12,K12*2-J12,0)</f>
        <v/>
      </c>
      <c r="M12" s="4">
        <f>IF(J12&lt;=0,"缺货",IF(J12&lt;K12,"不足","充足"))</f>
        <v/>
      </c>
    </row>
    <row r="13" ht="14.5" customHeight="1">
      <c r="A13" s="17" t="n"/>
      <c r="B13" s="17" t="n"/>
      <c r="C13" s="17" t="n"/>
      <c r="D13" s="17" t="n"/>
      <c r="E13" s="12" t="inlineStr">
        <is>
          <t>L</t>
        </is>
      </c>
      <c r="F13" s="12" t="inlineStr">
        <is>
          <t>黑色</t>
        </is>
      </c>
      <c r="G13" s="17" t="n"/>
      <c r="H13" s="6">
        <f>SUMIF(进货单!D:D,A13,进货单!I:I)</f>
        <v/>
      </c>
      <c r="I13" s="6">
        <f>SUMIF(销售开单!E:E,A13,销售开单!I:I)</f>
        <v/>
      </c>
      <c r="J13" s="6">
        <f>H13-I13</f>
        <v/>
      </c>
      <c r="K13" s="6" t="n">
        <v>10</v>
      </c>
      <c r="L13" s="6">
        <f>IF(J13&lt;K13,K13*2-J13,0)</f>
        <v/>
      </c>
      <c r="M13" s="4">
        <f>IF(J13&lt;=0,"缺货",IF(J13&lt;K13,"不足","充足"))</f>
        <v/>
      </c>
    </row>
    <row r="14" ht="14.5" customHeight="1">
      <c r="A14" s="13" t="inlineStr">
        <is>
          <t>UN-006</t>
        </is>
      </c>
      <c r="B14" s="12" t="inlineStr">
        <is>
          <t>内裤</t>
        </is>
      </c>
      <c r="C14" s="12" t="inlineStr">
        <is>
          <t>Triumph</t>
        </is>
      </c>
      <c r="D14" s="14" t="inlineStr">
        <is>
          <t>蕾丝三角内裤(女)</t>
        </is>
      </c>
      <c r="E14" s="12" t="inlineStr">
        <is>
          <t>M</t>
        </is>
      </c>
      <c r="F14" s="12" t="inlineStr">
        <is>
          <t>粉色</t>
        </is>
      </c>
      <c r="G14" s="14" t="inlineStr">
        <is>
          <t>B架-3层</t>
        </is>
      </c>
      <c r="H14" s="6">
        <f>SUMIF(进货单!D:D,A14,进货单!I:I)</f>
        <v/>
      </c>
      <c r="I14" s="6">
        <f>SUMIF(销售开单!E:E,A14,销售开单!I:I)</f>
        <v/>
      </c>
      <c r="J14" s="6">
        <f>H14-I14</f>
        <v/>
      </c>
      <c r="K14" s="6" t="n">
        <v>10</v>
      </c>
      <c r="L14" s="6">
        <f>IF(J14&lt;K14,K14*2-J14,0)</f>
        <v/>
      </c>
      <c r="M14" s="4">
        <f>IF(J14&lt;=0,"缺货",IF(J14&lt;K14,"不足","充足"))</f>
        <v/>
      </c>
    </row>
    <row r="15" ht="14.5" customHeight="1">
      <c r="A15" s="17" t="n"/>
      <c r="B15" s="17" t="n"/>
      <c r="C15" s="17" t="n"/>
      <c r="D15" s="17" t="n"/>
      <c r="E15" s="12" t="inlineStr">
        <is>
          <t>L</t>
        </is>
      </c>
      <c r="F15" s="12" t="inlineStr">
        <is>
          <t>肤色</t>
        </is>
      </c>
      <c r="G15" s="17" t="n"/>
      <c r="H15" s="6">
        <f>SUMIF(进货单!D:D,A15,进货单!I:I)</f>
        <v/>
      </c>
      <c r="I15" s="6">
        <f>SUMIF(销售开单!E:E,A15,销售开单!I:I)</f>
        <v/>
      </c>
      <c r="J15" s="6">
        <f>H15-I15</f>
        <v/>
      </c>
      <c r="K15" s="6" t="n">
        <v>10</v>
      </c>
      <c r="L15" s="6">
        <f>IF(J15&lt;K15,K15*2-J15,0)</f>
        <v/>
      </c>
      <c r="M15" s="4">
        <f>IF(J15&lt;=0,"缺货",IF(J15&lt;K15,"不足","充足"))</f>
        <v/>
      </c>
    </row>
    <row r="16" ht="14.5" customHeight="1">
      <c r="A16" s="13" t="inlineStr">
        <is>
          <t>SK-001</t>
        </is>
      </c>
      <c r="B16" s="12" t="inlineStr">
        <is>
          <t>袜子</t>
        </is>
      </c>
      <c r="C16" s="12" t="inlineStr">
        <is>
          <t>Goldlion</t>
        </is>
      </c>
      <c r="D16" s="14" t="inlineStr">
        <is>
          <t>商务棉袜 3双装</t>
        </is>
      </c>
      <c r="E16" s="12" t="inlineStr">
        <is>
          <t>均码</t>
        </is>
      </c>
      <c r="F16" s="12" t="inlineStr">
        <is>
          <t>黑色</t>
        </is>
      </c>
      <c r="G16" s="14" t="inlineStr">
        <is>
          <t>C架-1层</t>
        </is>
      </c>
      <c r="H16" s="6">
        <f>SUMIF(进货单!D:D,A16,进货单!I:I)</f>
        <v/>
      </c>
      <c r="I16" s="6">
        <f>SUMIF(销售开单!E:E,A16,销售开单!I:I)</f>
        <v/>
      </c>
      <c r="J16" s="6">
        <f>H16-I16</f>
        <v/>
      </c>
      <c r="K16" s="6" t="n">
        <v>15</v>
      </c>
      <c r="L16" s="6">
        <f>IF(J16&lt;K16,K16*2-J16,0)</f>
        <v/>
      </c>
      <c r="M16" s="4">
        <f>IF(J16&lt;=0,"缺货",IF(J16&lt;K16,"不足","充足"))</f>
        <v/>
      </c>
    </row>
    <row r="17" ht="14.5" customHeight="1">
      <c r="A17" s="17" t="n"/>
      <c r="B17" s="17" t="n"/>
      <c r="C17" s="17" t="n"/>
      <c r="D17" s="17" t="n"/>
      <c r="E17" s="12" t="inlineStr">
        <is>
          <t>均码</t>
        </is>
      </c>
      <c r="F17" s="12" t="inlineStr">
        <is>
          <t>深灰</t>
        </is>
      </c>
      <c r="G17" s="17" t="n"/>
      <c r="H17" s="6">
        <f>SUMIF(进货单!D:D,A17,进货单!I:I)</f>
        <v/>
      </c>
      <c r="I17" s="6">
        <f>SUMIF(销售开单!E:E,A17,销售开单!I:I)</f>
        <v/>
      </c>
      <c r="J17" s="6">
        <f>H17-I17</f>
        <v/>
      </c>
      <c r="K17" s="6" t="n">
        <v>15</v>
      </c>
      <c r="L17" s="6">
        <f>IF(J17&lt;K17,K17*2-J17,0)</f>
        <v/>
      </c>
      <c r="M17" s="4">
        <f>IF(J17&lt;=0,"缺货",IF(J17&lt;K17,"不足","充足"))</f>
        <v/>
      </c>
    </row>
    <row r="18" ht="14.5" customHeight="1">
      <c r="A18" s="13" t="inlineStr">
        <is>
          <t>SK-003</t>
        </is>
      </c>
      <c r="B18" s="12" t="inlineStr">
        <is>
          <t>袜子</t>
        </is>
      </c>
      <c r="C18" s="12" t="inlineStr">
        <is>
          <t>Puma</t>
        </is>
      </c>
      <c r="D18" s="14" t="inlineStr">
        <is>
          <t>运动短袜(男)</t>
        </is>
      </c>
      <c r="E18" s="12" t="inlineStr">
        <is>
          <t>均码</t>
        </is>
      </c>
      <c r="F18" s="12" t="inlineStr">
        <is>
          <t>白色</t>
        </is>
      </c>
      <c r="G18" s="14" t="inlineStr">
        <is>
          <t>C架-2层</t>
        </is>
      </c>
      <c r="H18" s="6">
        <f>SUMIF(进货单!D:D,A18,进货单!I:I)</f>
        <v/>
      </c>
      <c r="I18" s="6">
        <f>SUMIF(销售开单!E:E,A18,销售开单!I:I)</f>
        <v/>
      </c>
      <c r="J18" s="6">
        <f>H18-I18</f>
        <v/>
      </c>
      <c r="K18" s="6" t="n">
        <v>15</v>
      </c>
      <c r="L18" s="6">
        <f>IF(J18&lt;K18,K18*2-J18,0)</f>
        <v/>
      </c>
      <c r="M18" s="4">
        <f>IF(J18&lt;=0,"缺货",IF(J18&lt;K18,"不足","充足"))</f>
        <v/>
      </c>
    </row>
    <row r="19" ht="14.5" customHeight="1">
      <c r="A19" s="13" t="inlineStr">
        <is>
          <t>SK-004</t>
        </is>
      </c>
      <c r="B19" s="12" t="inlineStr">
        <is>
          <t>袜子</t>
        </is>
      </c>
      <c r="C19" s="12" t="inlineStr">
        <is>
          <t>Puma</t>
        </is>
      </c>
      <c r="D19" s="14" t="inlineStr">
        <is>
          <t>运动短袜(女)</t>
        </is>
      </c>
      <c r="E19" s="12" t="inlineStr">
        <is>
          <t>均码</t>
        </is>
      </c>
      <c r="F19" s="12" t="inlineStr">
        <is>
          <t>白色</t>
        </is>
      </c>
      <c r="G19" s="14" t="inlineStr">
        <is>
          <t>C架-2层</t>
        </is>
      </c>
      <c r="H19" s="6">
        <f>SUMIF(进货单!D:D,A19,进货单!I:I)</f>
        <v/>
      </c>
      <c r="I19" s="6">
        <f>SUMIF(销售开单!E:E,A19,销售开单!I:I)</f>
        <v/>
      </c>
      <c r="J19" s="6">
        <f>H19-I19</f>
        <v/>
      </c>
      <c r="K19" s="6" t="n">
        <v>15</v>
      </c>
      <c r="L19" s="6">
        <f>IF(J19&lt;K19,K19*2-J19,0)</f>
        <v/>
      </c>
      <c r="M19" s="4">
        <f>IF(J19&lt;=0,"缺货",IF(J19&lt;K19,"不足","充足"))</f>
        <v/>
      </c>
    </row>
    <row r="20" ht="14.5" customHeight="1">
      <c r="A20" s="13" t="inlineStr">
        <is>
          <t>SK-005</t>
        </is>
      </c>
      <c r="B20" s="12" t="inlineStr">
        <is>
          <t>袜子</t>
        </is>
      </c>
      <c r="C20" s="12" t="inlineStr">
        <is>
          <t>Happy Socks</t>
        </is>
      </c>
      <c r="D20" s="14" t="inlineStr">
        <is>
          <t>彩色棉袜(女)</t>
        </is>
      </c>
      <c r="E20" s="12" t="inlineStr">
        <is>
          <t>均码</t>
        </is>
      </c>
      <c r="F20" s="12" t="inlineStr">
        <is>
          <t>花色</t>
        </is>
      </c>
      <c r="G20" s="14" t="inlineStr">
        <is>
          <t>C架-3层</t>
        </is>
      </c>
      <c r="H20" s="6">
        <f>SUMIF(进货单!D:D,A20,进货单!I:I)</f>
        <v/>
      </c>
      <c r="I20" s="6">
        <f>SUMIF(销售开单!E:E,A20,销售开单!I:I)</f>
        <v/>
      </c>
      <c r="J20" s="6">
        <f>H20-I20</f>
        <v/>
      </c>
      <c r="K20" s="6" t="n">
        <v>10</v>
      </c>
      <c r="L20" s="6">
        <f>IF(J20&lt;K20,K20*2-J20,0)</f>
        <v/>
      </c>
      <c r="M20" s="4">
        <f>IF(J20&lt;=0,"缺货",IF(J20&lt;K20,"不足","充足"))</f>
        <v/>
      </c>
    </row>
    <row r="21" ht="14.5" customHeight="1">
      <c r="A21" s="13" t="inlineStr">
        <is>
          <t>ST-001</t>
        </is>
      </c>
      <c r="B21" s="12" t="inlineStr">
        <is>
          <t>裤袜</t>
        </is>
      </c>
      <c r="C21" s="12" t="inlineStr">
        <is>
          <t>Gunze</t>
        </is>
      </c>
      <c r="D21" s="14" t="inlineStr">
        <is>
          <t>发热保暖连裤袜</t>
        </is>
      </c>
      <c r="E21" s="12" t="inlineStr">
        <is>
          <t>M-L</t>
        </is>
      </c>
      <c r="F21" s="12" t="inlineStr">
        <is>
          <t>黑色</t>
        </is>
      </c>
      <c r="G21" s="14" t="inlineStr">
        <is>
          <t>D架-1层</t>
        </is>
      </c>
      <c r="H21" s="6">
        <f>SUMIF(进货单!D:D,A21,进货单!I:I)</f>
        <v/>
      </c>
      <c r="I21" s="6">
        <f>SUMIF(销售开单!E:E,A21,销售开单!I:I)</f>
        <v/>
      </c>
      <c r="J21" s="6">
        <f>H21-I21</f>
        <v/>
      </c>
      <c r="K21" s="6" t="n">
        <v>5</v>
      </c>
      <c r="L21" s="6">
        <f>IF(J21&lt;K21,K21*2-J21,0)</f>
        <v/>
      </c>
      <c r="M21" s="4">
        <f>IF(J21&lt;=0,"缺货",IF(J21&lt;K21,"不足","充足"))</f>
        <v/>
      </c>
    </row>
    <row r="22" ht="14.5" customHeight="1">
      <c r="A22" s="17" t="n"/>
      <c r="B22" s="17" t="n"/>
      <c r="C22" s="17" t="n"/>
      <c r="D22" s="17" t="n"/>
      <c r="E22" s="12" t="inlineStr">
        <is>
          <t>L-LL</t>
        </is>
      </c>
      <c r="F22" s="12" t="inlineStr">
        <is>
          <t>深灰</t>
        </is>
      </c>
      <c r="G22" s="17" t="n"/>
      <c r="H22" s="6">
        <f>SUMIF(进货单!D:D,A22,进货单!I:I)</f>
        <v/>
      </c>
      <c r="I22" s="6">
        <f>SUMIF(销售开单!E:E,A22,销售开单!I:I)</f>
        <v/>
      </c>
      <c r="J22" s="6">
        <f>H22-I22</f>
        <v/>
      </c>
      <c r="K22" s="6" t="n">
        <v>5</v>
      </c>
      <c r="L22" s="6">
        <f>IF(J22&lt;K22,K22*2-J22,0)</f>
        <v/>
      </c>
      <c r="M22" s="4">
        <f>IF(J22&lt;=0,"缺货",IF(J22&lt;K22,"不足","充足"))</f>
        <v/>
      </c>
    </row>
    <row r="23" ht="14.5" customHeight="1">
      <c r="A23" s="13" t="inlineStr">
        <is>
          <t>ST-003</t>
        </is>
      </c>
      <c r="B23" s="12" t="inlineStr">
        <is>
          <t>裤袜</t>
        </is>
      </c>
      <c r="C23" s="12" t="inlineStr">
        <is>
          <t>Atsugi</t>
        </is>
      </c>
      <c r="D23" s="14" t="inlineStr">
        <is>
          <t>压力美腿连裤袜</t>
        </is>
      </c>
      <c r="E23" s="12" t="inlineStr">
        <is>
          <t>M-L</t>
        </is>
      </c>
      <c r="F23" s="12" t="inlineStr">
        <is>
          <t>肤色</t>
        </is>
      </c>
      <c r="G23" s="14" t="inlineStr">
        <is>
          <t>D架-2层</t>
        </is>
      </c>
      <c r="H23" s="6">
        <f>SUMIF(进货单!D:D,A23,进货单!I:I)</f>
        <v/>
      </c>
      <c r="I23" s="6">
        <f>SUMIF(销售开单!E:E,A23,销售开单!I:I)</f>
        <v/>
      </c>
      <c r="J23" s="6">
        <f>H23-I23</f>
        <v/>
      </c>
      <c r="K23" s="6" t="n">
        <v>3</v>
      </c>
      <c r="L23" s="6">
        <f>IF(J23&lt;K23,K23*2-J23,0)</f>
        <v/>
      </c>
      <c r="M23" s="4">
        <f>IF(J23&lt;=0,"缺货",IF(J23&lt;K23,"不足","充足"))</f>
        <v/>
      </c>
    </row>
  </sheetData>
  <mergeCells count="37">
    <mergeCell ref="D4:D6"/>
    <mergeCell ref="B12:B13"/>
    <mergeCell ref="D21:D22"/>
    <mergeCell ref="A7:A8"/>
    <mergeCell ref="G7:G8"/>
    <mergeCell ref="C9:C11"/>
    <mergeCell ref="A16:A17"/>
    <mergeCell ref="C16:C17"/>
    <mergeCell ref="B14:B15"/>
    <mergeCell ref="G4:G6"/>
    <mergeCell ref="D9:D11"/>
    <mergeCell ref="A1:N1"/>
    <mergeCell ref="A4:A6"/>
    <mergeCell ref="G9:G11"/>
    <mergeCell ref="B4:B6"/>
    <mergeCell ref="A12:A13"/>
    <mergeCell ref="C12:C13"/>
    <mergeCell ref="C21:C22"/>
    <mergeCell ref="D7:D8"/>
    <mergeCell ref="D16:D17"/>
    <mergeCell ref="D12:D13"/>
    <mergeCell ref="A14:A15"/>
    <mergeCell ref="A9:A11"/>
    <mergeCell ref="A21:A22"/>
    <mergeCell ref="G14:G15"/>
    <mergeCell ref="A2:N2"/>
    <mergeCell ref="C7:C8"/>
    <mergeCell ref="G16:G17"/>
    <mergeCell ref="D14:D15"/>
    <mergeCell ref="C4:C6"/>
    <mergeCell ref="G12:G13"/>
    <mergeCell ref="B7:B8"/>
    <mergeCell ref="G21:G22"/>
    <mergeCell ref="B9:B11"/>
    <mergeCell ref="B16:B17"/>
    <mergeCell ref="B21:B22"/>
    <mergeCell ref="C14:C15"/>
  </mergeCells>
  <conditionalFormatting sqref="J4:J24">
    <cfRule type="colorScale" priority="1">
      <colorScale>
        <cfvo type="min"/>
        <cfvo type="percentile" val="50"/>
        <cfvo type="max"/>
        <color rgb="FFF8696B"/>
        <color rgb="FFFFC000"/>
        <color rgb="FF63BE7B"/>
      </colorScale>
    </cfRule>
  </conditionalFormatting>
  <conditionalFormatting sqref="M4:M24">
    <cfRule type="cellIs" priority="2" operator="equal" dxfId="1">
      <formula>"缺货"</formula>
    </cfRule>
    <cfRule type="cellIs" priority="3" operator="equal" dxfId="2">
      <formula>"不足"</formula>
    </cfRule>
    <cfRule type="cellIs" priority="4" operator="equal" dxfId="3">
      <formula>"充足"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2"/>
    <col width="14" customWidth="1" min="3" max="3"/>
    <col width="12" customWidth="1" min="4" max="4"/>
    <col width="8" customWidth="1" min="5" max="5"/>
    <col width="22" customWidth="1" min="6" max="6"/>
    <col width="8" customWidth="1" min="7" max="8"/>
    <col width="10" customWidth="1" min="9" max="9"/>
    <col width="14" customWidth="1" min="10" max="11"/>
    <col width="16" customWidth="1" min="12" max="12"/>
  </cols>
  <sheetData>
    <row r="1" ht="36" customHeight="1">
      <c r="A1" s="1" t="inlineStr">
        <is>
          <t>进货单 — Purchase / Stock-In</t>
        </is>
      </c>
    </row>
    <row r="2" ht="20" customHeight="1">
      <c r="A2" s="2" t="inlineStr">
        <is>
          <t>记录每次进货。填写日期、供应商、商品编号、数量、进货单价即可。</t>
        </is>
      </c>
    </row>
    <row r="3" ht="28" customHeight="1">
      <c r="A3" s="3" t="inlineStr">
        <is>
          <t>日期</t>
        </is>
      </c>
      <c r="B3" s="3" t="inlineStr">
        <is>
          <t>进货单号</t>
        </is>
      </c>
      <c r="C3" s="3" t="inlineStr">
        <is>
          <t>供应商</t>
        </is>
      </c>
      <c r="D3" s="3" t="inlineStr">
        <is>
          <t>商品编号</t>
        </is>
      </c>
      <c r="E3" s="3" t="inlineStr">
        <is>
          <t>品类</t>
        </is>
      </c>
      <c r="F3" s="3" t="inlineStr">
        <is>
          <t>款式名称</t>
        </is>
      </c>
      <c r="G3" s="3" t="inlineStr">
        <is>
          <t>尺码</t>
        </is>
      </c>
      <c r="H3" s="3" t="inlineStr">
        <is>
          <t>颜色</t>
        </is>
      </c>
      <c r="I3" s="3" t="inlineStr">
        <is>
          <t>进货数量</t>
        </is>
      </c>
      <c r="J3" s="3" t="inlineStr">
        <is>
          <t>进货单价(SGD)</t>
        </is>
      </c>
      <c r="K3" s="3" t="inlineStr">
        <is>
          <t>进货总额(SGD)</t>
        </is>
      </c>
      <c r="L3" s="3" t="inlineStr">
        <is>
          <t>备注</t>
        </is>
      </c>
    </row>
    <row r="4" ht="14.5" customHeight="1">
      <c r="A4" s="12" t="inlineStr">
        <is>
          <t>2026-06-01</t>
        </is>
      </c>
      <c r="B4" s="13" t="inlineStr">
        <is>
          <t>PI-1001</t>
        </is>
      </c>
      <c r="C4" s="14" t="inlineStr">
        <is>
          <t>Triumph SG</t>
        </is>
      </c>
      <c r="D4" s="13" t="inlineStr">
        <is>
          <t>BR-001</t>
        </is>
      </c>
      <c r="E4" s="12" t="inlineStr">
        <is>
          <t>内衣</t>
        </is>
      </c>
      <c r="F4" s="14" t="inlineStr">
        <is>
          <t>无钢圈舒适文胸</t>
        </is>
      </c>
      <c r="G4" s="12" t="inlineStr">
        <is>
          <t>34B</t>
        </is>
      </c>
      <c r="H4" s="12" t="inlineStr">
        <is>
          <t>黑色</t>
        </is>
      </c>
      <c r="I4" s="6" t="n">
        <v>10</v>
      </c>
      <c r="J4" s="5" t="n">
        <v>10.5</v>
      </c>
      <c r="K4" s="5">
        <f>I4*J4</f>
        <v/>
      </c>
      <c r="L4" s="14" t="inlineStr"/>
    </row>
    <row r="5" ht="14.5" customHeight="1">
      <c r="A5" s="12" t="inlineStr">
        <is>
          <t>2026-06-01</t>
        </is>
      </c>
      <c r="B5" s="13" t="inlineStr">
        <is>
          <t>PI-1002</t>
        </is>
      </c>
      <c r="C5" s="14" t="inlineStr">
        <is>
          <t>Triumph SG</t>
        </is>
      </c>
      <c r="D5" s="13" t="inlineStr">
        <is>
          <t>BR-002</t>
        </is>
      </c>
      <c r="E5" s="12" t="inlineStr">
        <is>
          <t>内衣</t>
        </is>
      </c>
      <c r="F5" s="14" t="inlineStr">
        <is>
          <t>无钢圈舒适文胸</t>
        </is>
      </c>
      <c r="G5" s="12" t="inlineStr">
        <is>
          <t>36B</t>
        </is>
      </c>
      <c r="H5" s="12" t="inlineStr">
        <is>
          <t>肤色</t>
        </is>
      </c>
      <c r="I5" s="6" t="n">
        <v>8</v>
      </c>
      <c r="J5" s="5" t="n">
        <v>10.5</v>
      </c>
      <c r="K5" s="5">
        <f>I5*J5</f>
        <v/>
      </c>
      <c r="L5" s="14" t="inlineStr"/>
    </row>
    <row r="6" ht="14.5" customHeight="1">
      <c r="A6" s="12" t="inlineStr">
        <is>
          <t>2026-06-01</t>
        </is>
      </c>
      <c r="B6" s="13" t="inlineStr">
        <is>
          <t>PI-1003</t>
        </is>
      </c>
      <c r="C6" s="14" t="inlineStr">
        <is>
          <t>Triumph SG</t>
        </is>
      </c>
      <c r="D6" s="13" t="inlineStr">
        <is>
          <t>BR-003</t>
        </is>
      </c>
      <c r="E6" s="12" t="inlineStr">
        <is>
          <t>内衣</t>
        </is>
      </c>
      <c r="F6" s="14" t="inlineStr">
        <is>
          <t>无钢圈舒适文胸</t>
        </is>
      </c>
      <c r="G6" s="12" t="inlineStr">
        <is>
          <t>34C</t>
        </is>
      </c>
      <c r="H6" s="12" t="inlineStr">
        <is>
          <t>黑色</t>
        </is>
      </c>
      <c r="I6" s="6" t="n">
        <v>8</v>
      </c>
      <c r="J6" s="5" t="n">
        <v>10.5</v>
      </c>
      <c r="K6" s="5">
        <f>I6*J6</f>
        <v/>
      </c>
      <c r="L6" s="14" t="inlineStr"/>
    </row>
    <row r="7" ht="14.5" customHeight="1">
      <c r="A7" s="12" t="inlineStr">
        <is>
          <t>2026-06-01</t>
        </is>
      </c>
      <c r="B7" s="13" t="inlineStr">
        <is>
          <t>PI-1004</t>
        </is>
      </c>
      <c r="C7" s="14" t="inlineStr">
        <is>
          <t>Wacoal 代理</t>
        </is>
      </c>
      <c r="D7" s="13" t="inlineStr">
        <is>
          <t>BR-004</t>
        </is>
      </c>
      <c r="E7" s="12" t="inlineStr">
        <is>
          <t>内衣</t>
        </is>
      </c>
      <c r="F7" s="14" t="inlineStr">
        <is>
          <t>聚拢调整型文胸</t>
        </is>
      </c>
      <c r="G7" s="12" t="inlineStr">
        <is>
          <t>34B</t>
        </is>
      </c>
      <c r="H7" s="12" t="inlineStr">
        <is>
          <t>黑色</t>
        </is>
      </c>
      <c r="I7" s="6" t="n">
        <v>5</v>
      </c>
      <c r="J7" s="5" t="n">
        <v>14</v>
      </c>
      <c r="K7" s="5">
        <f>I7*J7</f>
        <v/>
      </c>
      <c r="L7" s="14" t="inlineStr"/>
    </row>
    <row r="8" ht="14.5" customHeight="1">
      <c r="A8" s="12" t="inlineStr">
        <is>
          <t>2026-06-01</t>
        </is>
      </c>
      <c r="B8" s="13" t="inlineStr">
        <is>
          <t>PI-1005</t>
        </is>
      </c>
      <c r="C8" s="14" t="inlineStr">
        <is>
          <t>Wacoal 代理</t>
        </is>
      </c>
      <c r="D8" s="13" t="inlineStr">
        <is>
          <t>BR-005</t>
        </is>
      </c>
      <c r="E8" s="12" t="inlineStr">
        <is>
          <t>内衣</t>
        </is>
      </c>
      <c r="F8" s="14" t="inlineStr">
        <is>
          <t>聚拢调整型文胸</t>
        </is>
      </c>
      <c r="G8" s="12" t="inlineStr">
        <is>
          <t>36C</t>
        </is>
      </c>
      <c r="H8" s="12" t="inlineStr">
        <is>
          <t>肤色</t>
        </is>
      </c>
      <c r="I8" s="6" t="n">
        <v>5</v>
      </c>
      <c r="J8" s="5" t="n">
        <v>14</v>
      </c>
      <c r="K8" s="5">
        <f>I8*J8</f>
        <v/>
      </c>
      <c r="L8" s="14" t="inlineStr"/>
    </row>
    <row r="9" ht="14.5" customHeight="1">
      <c r="A9" s="12" t="inlineStr">
        <is>
          <t>2026-06-01</t>
        </is>
      </c>
      <c r="B9" s="13" t="inlineStr">
        <is>
          <t>PI-1006</t>
        </is>
      </c>
      <c r="C9" s="14" t="inlineStr">
        <is>
          <t>Byford 批发</t>
        </is>
      </c>
      <c r="D9" s="13" t="inlineStr">
        <is>
          <t>UN-001</t>
        </is>
      </c>
      <c r="E9" s="12" t="inlineStr">
        <is>
          <t>内裤</t>
        </is>
      </c>
      <c r="F9" s="14" t="inlineStr">
        <is>
          <t>纯棉平角内裤(男)</t>
        </is>
      </c>
      <c r="G9" s="12" t="inlineStr">
        <is>
          <t>M</t>
        </is>
      </c>
      <c r="H9" s="12" t="inlineStr">
        <is>
          <t>灰色</t>
        </is>
      </c>
      <c r="I9" s="6" t="n">
        <v>20</v>
      </c>
      <c r="J9" s="5" t="n">
        <v>4.5</v>
      </c>
      <c r="K9" s="5">
        <f>I9*J9</f>
        <v/>
      </c>
      <c r="L9" s="14" t="inlineStr"/>
    </row>
    <row r="10" ht="14.5" customHeight="1">
      <c r="A10" s="12" t="inlineStr">
        <is>
          <t>2026-06-01</t>
        </is>
      </c>
      <c r="B10" s="13" t="inlineStr">
        <is>
          <t>PI-1007</t>
        </is>
      </c>
      <c r="C10" s="14" t="inlineStr">
        <is>
          <t>Byford 批发</t>
        </is>
      </c>
      <c r="D10" s="13" t="inlineStr">
        <is>
          <t>UN-002</t>
        </is>
      </c>
      <c r="E10" s="12" t="inlineStr">
        <is>
          <t>内裤</t>
        </is>
      </c>
      <c r="F10" s="14" t="inlineStr">
        <is>
          <t>纯棉平角内裤(男)</t>
        </is>
      </c>
      <c r="G10" s="12" t="inlineStr">
        <is>
          <t>L</t>
        </is>
      </c>
      <c r="H10" s="12" t="inlineStr">
        <is>
          <t>灰色</t>
        </is>
      </c>
      <c r="I10" s="6" t="n">
        <v>20</v>
      </c>
      <c r="J10" s="5" t="n">
        <v>4.5</v>
      </c>
      <c r="K10" s="5">
        <f>I10*J10</f>
        <v/>
      </c>
      <c r="L10" s="14" t="inlineStr"/>
    </row>
    <row r="11" ht="14.5" customHeight="1">
      <c r="A11" s="12" t="inlineStr">
        <is>
          <t>2026-06-01</t>
        </is>
      </c>
      <c r="B11" s="13" t="inlineStr">
        <is>
          <t>PI-1008</t>
        </is>
      </c>
      <c r="C11" s="14" t="inlineStr">
        <is>
          <t>Byford 批发</t>
        </is>
      </c>
      <c r="D11" s="13" t="inlineStr">
        <is>
          <t>UN-003</t>
        </is>
      </c>
      <c r="E11" s="12" t="inlineStr">
        <is>
          <t>内裤</t>
        </is>
      </c>
      <c r="F11" s="14" t="inlineStr">
        <is>
          <t>纯棉平角内裤(男)</t>
        </is>
      </c>
      <c r="G11" s="12" t="inlineStr">
        <is>
          <t>XL</t>
        </is>
      </c>
      <c r="H11" s="12" t="inlineStr">
        <is>
          <t>黑色</t>
        </is>
      </c>
      <c r="I11" s="6" t="n">
        <v>15</v>
      </c>
      <c r="J11" s="5" t="n">
        <v>4.5</v>
      </c>
      <c r="K11" s="5">
        <f>I11*J11</f>
        <v/>
      </c>
      <c r="L11" s="14" t="inlineStr"/>
    </row>
    <row r="12" ht="14.5" customHeight="1">
      <c r="A12" s="12" t="inlineStr">
        <is>
          <t>2026-06-01</t>
        </is>
      </c>
      <c r="B12" s="13" t="inlineStr">
        <is>
          <t>PI-1009</t>
        </is>
      </c>
      <c r="C12" s="14" t="inlineStr">
        <is>
          <t>Renoma 总代</t>
        </is>
      </c>
      <c r="D12" s="13" t="inlineStr">
        <is>
          <t>UN-004</t>
        </is>
      </c>
      <c r="E12" s="12" t="inlineStr">
        <is>
          <t>内裤</t>
        </is>
      </c>
      <c r="F12" s="14" t="inlineStr">
        <is>
          <t>冰丝三角内裤(男)</t>
        </is>
      </c>
      <c r="G12" s="12" t="inlineStr">
        <is>
          <t>M</t>
        </is>
      </c>
      <c r="H12" s="12" t="inlineStr">
        <is>
          <t>蓝色</t>
        </is>
      </c>
      <c r="I12" s="6" t="n">
        <v>12</v>
      </c>
      <c r="J12" s="5" t="n">
        <v>3.2</v>
      </c>
      <c r="K12" s="5">
        <f>I12*J12</f>
        <v/>
      </c>
      <c r="L12" s="14" t="inlineStr"/>
    </row>
    <row r="13" ht="14.5" customHeight="1">
      <c r="A13" s="12" t="inlineStr">
        <is>
          <t>2026-06-01</t>
        </is>
      </c>
      <c r="B13" s="13" t="inlineStr">
        <is>
          <t>PI-1010</t>
        </is>
      </c>
      <c r="C13" s="14" t="inlineStr">
        <is>
          <t>Renoma 总代</t>
        </is>
      </c>
      <c r="D13" s="13" t="inlineStr">
        <is>
          <t>UN-005</t>
        </is>
      </c>
      <c r="E13" s="12" t="inlineStr">
        <is>
          <t>内裤</t>
        </is>
      </c>
      <c r="F13" s="14" t="inlineStr">
        <is>
          <t>冰丝三角内裤(男)</t>
        </is>
      </c>
      <c r="G13" s="12" t="inlineStr">
        <is>
          <t>L</t>
        </is>
      </c>
      <c r="H13" s="12" t="inlineStr">
        <is>
          <t>黑色</t>
        </is>
      </c>
      <c r="I13" s="6" t="n">
        <v>12</v>
      </c>
      <c r="J13" s="5" t="n">
        <v>3.2</v>
      </c>
      <c r="K13" s="5">
        <f>I13*J13</f>
        <v/>
      </c>
      <c r="L13" s="14" t="inlineStr"/>
    </row>
    <row r="14" ht="14.5" customHeight="1">
      <c r="A14" s="12" t="inlineStr">
        <is>
          <t>2026-06-01</t>
        </is>
      </c>
      <c r="B14" s="13" t="inlineStr">
        <is>
          <t>PI-1011</t>
        </is>
      </c>
      <c r="C14" s="14" t="inlineStr">
        <is>
          <t>Triumph SG</t>
        </is>
      </c>
      <c r="D14" s="13" t="inlineStr">
        <is>
          <t>UN-006</t>
        </is>
      </c>
      <c r="E14" s="12" t="inlineStr">
        <is>
          <t>内裤</t>
        </is>
      </c>
      <c r="F14" s="14" t="inlineStr">
        <is>
          <t>蕾丝三角内裤(女)</t>
        </is>
      </c>
      <c r="G14" s="12" t="inlineStr">
        <is>
          <t>M</t>
        </is>
      </c>
      <c r="H14" s="12" t="inlineStr">
        <is>
          <t>粉色</t>
        </is>
      </c>
      <c r="I14" s="6" t="n">
        <v>10</v>
      </c>
      <c r="J14" s="5" t="n">
        <v>3.8</v>
      </c>
      <c r="K14" s="5">
        <f>I14*J14</f>
        <v/>
      </c>
      <c r="L14" s="14" t="inlineStr"/>
    </row>
    <row r="15" ht="14.5" customHeight="1">
      <c r="A15" s="12" t="inlineStr">
        <is>
          <t>2026-06-01</t>
        </is>
      </c>
      <c r="B15" s="13" t="inlineStr">
        <is>
          <t>PI-1012</t>
        </is>
      </c>
      <c r="C15" s="14" t="inlineStr">
        <is>
          <t>Triumph SG</t>
        </is>
      </c>
      <c r="D15" s="13" t="inlineStr">
        <is>
          <t>UN-007</t>
        </is>
      </c>
      <c r="E15" s="12" t="inlineStr">
        <is>
          <t>内裤</t>
        </is>
      </c>
      <c r="F15" s="14" t="inlineStr">
        <is>
          <t>蕾丝三角内裤(女)</t>
        </is>
      </c>
      <c r="G15" s="12" t="inlineStr">
        <is>
          <t>L</t>
        </is>
      </c>
      <c r="H15" s="12" t="inlineStr">
        <is>
          <t>肤色</t>
        </is>
      </c>
      <c r="I15" s="6" t="n">
        <v>10</v>
      </c>
      <c r="J15" s="5" t="n">
        <v>3.8</v>
      </c>
      <c r="K15" s="5">
        <f>I15*J15</f>
        <v/>
      </c>
      <c r="L15" s="14" t="inlineStr"/>
    </row>
    <row r="16" ht="14.5" customHeight="1">
      <c r="A16" s="12" t="inlineStr">
        <is>
          <t>2026-06-01</t>
        </is>
      </c>
      <c r="B16" s="13" t="inlineStr">
        <is>
          <t>PI-1013</t>
        </is>
      </c>
      <c r="C16" s="14" t="inlineStr">
        <is>
          <t>Goldlion 批发</t>
        </is>
      </c>
      <c r="D16" s="13" t="inlineStr">
        <is>
          <t>SK-001</t>
        </is>
      </c>
      <c r="E16" s="12" t="inlineStr">
        <is>
          <t>袜子</t>
        </is>
      </c>
      <c r="F16" s="14" t="inlineStr">
        <is>
          <t>商务棉袜 3双装</t>
        </is>
      </c>
      <c r="G16" s="12" t="inlineStr">
        <is>
          <t>均码</t>
        </is>
      </c>
      <c r="H16" s="12" t="inlineStr">
        <is>
          <t>黑色</t>
        </is>
      </c>
      <c r="I16" s="6" t="n">
        <v>25</v>
      </c>
      <c r="J16" s="5" t="n">
        <v>2.5</v>
      </c>
      <c r="K16" s="5">
        <f>I16*J16</f>
        <v/>
      </c>
      <c r="L16" s="14" t="inlineStr"/>
    </row>
    <row r="17" ht="14.5" customHeight="1">
      <c r="A17" s="12" t="inlineStr">
        <is>
          <t>2026-06-01</t>
        </is>
      </c>
      <c r="B17" s="13" t="inlineStr">
        <is>
          <t>PI-1014</t>
        </is>
      </c>
      <c r="C17" s="14" t="inlineStr">
        <is>
          <t>Goldlion 批发</t>
        </is>
      </c>
      <c r="D17" s="13" t="inlineStr">
        <is>
          <t>SK-002</t>
        </is>
      </c>
      <c r="E17" s="12" t="inlineStr">
        <is>
          <t>袜子</t>
        </is>
      </c>
      <c r="F17" s="14" t="inlineStr">
        <is>
          <t>商务棉袜 3双装</t>
        </is>
      </c>
      <c r="G17" s="12" t="inlineStr">
        <is>
          <t>均码</t>
        </is>
      </c>
      <c r="H17" s="12" t="inlineStr">
        <is>
          <t>深灰</t>
        </is>
      </c>
      <c r="I17" s="6" t="n">
        <v>20</v>
      </c>
      <c r="J17" s="5" t="n">
        <v>2.5</v>
      </c>
      <c r="K17" s="5">
        <f>I17*J17</f>
        <v/>
      </c>
      <c r="L17" s="14" t="inlineStr"/>
    </row>
    <row r="18" ht="14.5" customHeight="1">
      <c r="A18" s="12" t="inlineStr">
        <is>
          <t>2026-06-01</t>
        </is>
      </c>
      <c r="B18" s="13" t="inlineStr">
        <is>
          <t>PI-1015</t>
        </is>
      </c>
      <c r="C18" s="14" t="inlineStr">
        <is>
          <t>Puma 经销商</t>
        </is>
      </c>
      <c r="D18" s="13" t="inlineStr">
        <is>
          <t>SK-003</t>
        </is>
      </c>
      <c r="E18" s="12" t="inlineStr">
        <is>
          <t>袜子</t>
        </is>
      </c>
      <c r="F18" s="14" t="inlineStr">
        <is>
          <t>运动短袜(男)</t>
        </is>
      </c>
      <c r="G18" s="12" t="inlineStr">
        <is>
          <t>均码</t>
        </is>
      </c>
      <c r="H18" s="12" t="inlineStr">
        <is>
          <t>白色</t>
        </is>
      </c>
      <c r="I18" s="6" t="n">
        <v>15</v>
      </c>
      <c r="J18" s="5" t="n">
        <v>3</v>
      </c>
      <c r="K18" s="5">
        <f>I18*J18</f>
        <v/>
      </c>
      <c r="L18" s="14" t="inlineStr"/>
    </row>
    <row r="19" ht="14.5" customHeight="1">
      <c r="A19" s="12" t="inlineStr">
        <is>
          <t>2026-06-01</t>
        </is>
      </c>
      <c r="B19" s="13" t="inlineStr">
        <is>
          <t>PI-1016</t>
        </is>
      </c>
      <c r="C19" s="14" t="inlineStr">
        <is>
          <t>Puma 经销商</t>
        </is>
      </c>
      <c r="D19" s="13" t="inlineStr">
        <is>
          <t>SK-004</t>
        </is>
      </c>
      <c r="E19" s="12" t="inlineStr">
        <is>
          <t>袜子</t>
        </is>
      </c>
      <c r="F19" s="14" t="inlineStr">
        <is>
          <t>运动短袜(女)</t>
        </is>
      </c>
      <c r="G19" s="12" t="inlineStr">
        <is>
          <t>均码</t>
        </is>
      </c>
      <c r="H19" s="12" t="inlineStr">
        <is>
          <t>白色</t>
        </is>
      </c>
      <c r="I19" s="6" t="n">
        <v>15</v>
      </c>
      <c r="J19" s="5" t="n">
        <v>3</v>
      </c>
      <c r="K19" s="5">
        <f>I19*J19</f>
        <v/>
      </c>
      <c r="L19" s="14" t="inlineStr"/>
    </row>
    <row r="20" ht="29" customHeight="1">
      <c r="A20" s="12" t="inlineStr">
        <is>
          <t>2026-06-01</t>
        </is>
      </c>
      <c r="B20" s="13" t="inlineStr">
        <is>
          <t>PI-1017</t>
        </is>
      </c>
      <c r="C20" s="14" t="inlineStr">
        <is>
          <t>Happy Socks SG</t>
        </is>
      </c>
      <c r="D20" s="13" t="inlineStr">
        <is>
          <t>SK-005</t>
        </is>
      </c>
      <c r="E20" s="12" t="inlineStr">
        <is>
          <t>袜子</t>
        </is>
      </c>
      <c r="F20" s="14" t="inlineStr">
        <is>
          <t>彩色棉袜(女)</t>
        </is>
      </c>
      <c r="G20" s="12" t="inlineStr">
        <is>
          <t>均码</t>
        </is>
      </c>
      <c r="H20" s="12" t="inlineStr">
        <is>
          <t>花色</t>
        </is>
      </c>
      <c r="I20" s="6" t="n">
        <v>10</v>
      </c>
      <c r="J20" s="5" t="n">
        <v>3.5</v>
      </c>
      <c r="K20" s="5">
        <f>I20*J20</f>
        <v/>
      </c>
      <c r="L20" s="14" t="inlineStr"/>
    </row>
    <row r="21" ht="14.5" customHeight="1">
      <c r="A21" s="12" t="inlineStr">
        <is>
          <t>2026-06-01</t>
        </is>
      </c>
      <c r="B21" s="13" t="inlineStr">
        <is>
          <t>PI-1018</t>
        </is>
      </c>
      <c r="C21" s="14" t="inlineStr">
        <is>
          <t>Gunze 日本</t>
        </is>
      </c>
      <c r="D21" s="13" t="inlineStr">
        <is>
          <t>ST-001</t>
        </is>
      </c>
      <c r="E21" s="12" t="inlineStr">
        <is>
          <t>裤袜</t>
        </is>
      </c>
      <c r="F21" s="14" t="inlineStr">
        <is>
          <t>发热保暖连裤袜</t>
        </is>
      </c>
      <c r="G21" s="12" t="inlineStr">
        <is>
          <t>M-L</t>
        </is>
      </c>
      <c r="H21" s="12" t="inlineStr">
        <is>
          <t>黑色</t>
        </is>
      </c>
      <c r="I21" s="6" t="n">
        <v>8</v>
      </c>
      <c r="J21" s="5" t="n">
        <v>8</v>
      </c>
      <c r="K21" s="5">
        <f>I21*J21</f>
        <v/>
      </c>
      <c r="L21" s="14" t="inlineStr"/>
    </row>
    <row r="22" ht="14.5" customHeight="1">
      <c r="A22" s="12" t="inlineStr">
        <is>
          <t>2026-06-01</t>
        </is>
      </c>
      <c r="B22" s="13" t="inlineStr">
        <is>
          <t>PI-1019</t>
        </is>
      </c>
      <c r="C22" s="14" t="inlineStr">
        <is>
          <t>Gunze 日本</t>
        </is>
      </c>
      <c r="D22" s="13" t="inlineStr">
        <is>
          <t>ST-002</t>
        </is>
      </c>
      <c r="E22" s="12" t="inlineStr">
        <is>
          <t>裤袜</t>
        </is>
      </c>
      <c r="F22" s="14" t="inlineStr">
        <is>
          <t>发热保暖连裤袜</t>
        </is>
      </c>
      <c r="G22" s="12" t="inlineStr">
        <is>
          <t>L-LL</t>
        </is>
      </c>
      <c r="H22" s="12" t="inlineStr">
        <is>
          <t>深灰</t>
        </is>
      </c>
      <c r="I22" s="6" t="n">
        <v>8</v>
      </c>
      <c r="J22" s="5" t="n">
        <v>8</v>
      </c>
      <c r="K22" s="5">
        <f>I22*J22</f>
        <v/>
      </c>
      <c r="L22" s="14" t="inlineStr"/>
    </row>
    <row r="23" ht="14.5" customHeight="1">
      <c r="A23" s="12" t="inlineStr">
        <is>
          <t>2026-06-01</t>
        </is>
      </c>
      <c r="B23" s="13" t="inlineStr">
        <is>
          <t>PI-1020</t>
        </is>
      </c>
      <c r="C23" s="14" t="inlineStr">
        <is>
          <t>Atsugi 代理</t>
        </is>
      </c>
      <c r="D23" s="13" t="inlineStr">
        <is>
          <t>ST-003</t>
        </is>
      </c>
      <c r="E23" s="12" t="inlineStr">
        <is>
          <t>裤袜</t>
        </is>
      </c>
      <c r="F23" s="14" t="inlineStr">
        <is>
          <t>压力美腿连裤袜</t>
        </is>
      </c>
      <c r="G23" s="12" t="inlineStr">
        <is>
          <t>M-L</t>
        </is>
      </c>
      <c r="H23" s="12" t="inlineStr">
        <is>
          <t>肤色</t>
        </is>
      </c>
      <c r="I23" s="6" t="n">
        <v>5</v>
      </c>
      <c r="J23" s="5" t="n">
        <v>10</v>
      </c>
      <c r="K23" s="5">
        <f>I23*J23</f>
        <v/>
      </c>
      <c r="L23" s="14" t="inlineStr"/>
    </row>
    <row r="24" ht="14.5" customHeight="1">
      <c r="A24" s="12" t="inlineStr">
        <is>
          <t>2026-06-08</t>
        </is>
      </c>
      <c r="B24" s="13" t="inlineStr">
        <is>
          <t>PI-1021</t>
        </is>
      </c>
      <c r="C24" s="14" t="inlineStr">
        <is>
          <t>Byford 批发</t>
        </is>
      </c>
      <c r="D24" s="13" t="inlineStr">
        <is>
          <t>UN-001</t>
        </is>
      </c>
      <c r="E24" s="12" t="inlineStr">
        <is>
          <t>内裤</t>
        </is>
      </c>
      <c r="F24" s="14" t="inlineStr">
        <is>
          <t>纯棉平角内裤(男)</t>
        </is>
      </c>
      <c r="G24" s="12" t="inlineStr">
        <is>
          <t>M</t>
        </is>
      </c>
      <c r="H24" s="12" t="inlineStr">
        <is>
          <t>灰色</t>
        </is>
      </c>
      <c r="I24" s="6" t="n">
        <v>5</v>
      </c>
      <c r="J24" s="5" t="n">
        <v>4.5</v>
      </c>
      <c r="K24" s="5">
        <f>I24*J24</f>
        <v/>
      </c>
      <c r="L24" s="14" t="inlineStr"/>
    </row>
    <row r="25" ht="14.5" customHeight="1">
      <c r="A25" s="12" t="inlineStr">
        <is>
          <t>2026-06-08</t>
        </is>
      </c>
      <c r="B25" s="13" t="inlineStr">
        <is>
          <t>PI-1022</t>
        </is>
      </c>
      <c r="C25" s="14" t="inlineStr">
        <is>
          <t>Goldlion 批发</t>
        </is>
      </c>
      <c r="D25" s="13" t="inlineStr">
        <is>
          <t>SK-001</t>
        </is>
      </c>
      <c r="E25" s="12" t="inlineStr">
        <is>
          <t>袜子</t>
        </is>
      </c>
      <c r="F25" s="14" t="inlineStr">
        <is>
          <t>商务棉袜 3双装</t>
        </is>
      </c>
      <c r="G25" s="12" t="inlineStr">
        <is>
          <t>均码</t>
        </is>
      </c>
      <c r="H25" s="12" t="inlineStr">
        <is>
          <t>黑色</t>
        </is>
      </c>
      <c r="I25" s="6" t="n">
        <v>5</v>
      </c>
      <c r="J25" s="5" t="n">
        <v>2.5</v>
      </c>
      <c r="K25" s="5">
        <f>I25*J25</f>
        <v/>
      </c>
      <c r="L25" s="14" t="inlineStr"/>
    </row>
    <row r="26" ht="14.5" customHeight="1">
      <c r="A26" s="12" t="inlineStr"/>
      <c r="B26" s="12" t="inlineStr"/>
      <c r="C26" s="14" t="inlineStr"/>
      <c r="D26" s="13" t="inlineStr"/>
      <c r="E26" s="12" t="inlineStr"/>
      <c r="F26" s="14" t="inlineStr"/>
      <c r="G26" s="12" t="inlineStr"/>
      <c r="H26" s="12" t="inlineStr"/>
      <c r="I26" s="13" t="inlineStr"/>
      <c r="J26" s="13" t="inlineStr"/>
      <c r="K26" s="15">
        <f>I26*J26</f>
        <v/>
      </c>
      <c r="L26" s="12" t="inlineStr"/>
    </row>
  </sheetData>
  <mergeCells count="2">
    <mergeCell ref="A2:N2"/>
    <mergeCell ref="A1:N1"/>
  </mergeCells>
  <dataValidations count="2">
    <dataValidation sqref="C4:C500" showDropDown="0" showInputMessage="0" showErrorMessage="0" allowBlank="1" error="请选择供应商" type="list">
      <formula1>"Triumph SG,Wacoal 代理,Byford 批发,Renoma 总代,Goldlion 批发,Puma 经销商,Happy Socks SG,Gunze 日本,Atsugi 代理"</formula1>
    </dataValidation>
    <dataValidation sqref="D4:E500" showDropDown="0" showInputMessage="0" showErrorMessage="0" allowBlank="1" error="请选择商品编号" type="list">
      <formula1>"BR-001,BR-002,BR-003,BR-004,BR-005,UN-001,UN-002,UN-003,UN-004,UN-005,UN-006,UN-007,SK-001,SK-002,SK-003,SK-004,SK-005,ST-001,ST-002,ST-003"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2"/>
    <col width="8" customWidth="1" min="3" max="3"/>
    <col width="16" customWidth="1" min="4" max="4"/>
    <col width="12" customWidth="1" min="5" max="5"/>
    <col width="8" customWidth="1" min="6" max="6"/>
    <col width="22" customWidth="1" min="7" max="7"/>
    <col width="8" customWidth="1" min="8" max="9"/>
    <col width="14" customWidth="1" min="10" max="11"/>
    <col width="16" customWidth="1" min="12" max="12"/>
  </cols>
  <sheetData>
    <row r="1" ht="36" customHeight="1">
      <c r="A1" s="1" t="inlineStr">
        <is>
          <t>销售开单 — Sales Order</t>
        </is>
      </c>
    </row>
    <row r="2" ht="20" customHeight="1">
      <c r="A2" s="2" t="inlineStr">
        <is>
          <t>零售/批发分开记录。填日期、类型、商品编号、数量，单价自动匹配（零售价/批发价）。</t>
        </is>
      </c>
    </row>
    <row r="3" ht="28" customHeight="1">
      <c r="A3" s="3" t="inlineStr">
        <is>
          <t>日期</t>
        </is>
      </c>
      <c r="B3" s="3" t="inlineStr">
        <is>
          <t>单号</t>
        </is>
      </c>
      <c r="C3" s="3" t="inlineStr">
        <is>
          <t>类型</t>
        </is>
      </c>
      <c r="D3" s="3" t="inlineStr">
        <is>
          <t>客户</t>
        </is>
      </c>
      <c r="E3" s="3" t="inlineStr">
        <is>
          <t>商品编号</t>
        </is>
      </c>
      <c r="F3" s="3" t="inlineStr">
        <is>
          <t>品类</t>
        </is>
      </c>
      <c r="G3" s="3" t="inlineStr">
        <is>
          <t>款式名称</t>
        </is>
      </c>
      <c r="H3" s="3" t="inlineStr">
        <is>
          <t>尺码</t>
        </is>
      </c>
      <c r="I3" s="3" t="inlineStr">
        <is>
          <t>数量</t>
        </is>
      </c>
      <c r="J3" s="3" t="inlineStr">
        <is>
          <t>单价(SGD)</t>
        </is>
      </c>
      <c r="K3" s="3" t="inlineStr">
        <is>
          <t>金额(SGD)</t>
        </is>
      </c>
      <c r="L3" s="3" t="inlineStr">
        <is>
          <t>备注</t>
        </is>
      </c>
    </row>
    <row r="4" ht="14.5" customHeight="1">
      <c r="A4" s="12" t="inlineStr">
        <is>
          <t>2026-06-07</t>
        </is>
      </c>
      <c r="B4" s="13" t="inlineStr">
        <is>
          <t>SO-1001</t>
        </is>
      </c>
      <c r="C4" s="4" t="inlineStr">
        <is>
          <t>零售</t>
        </is>
      </c>
      <c r="D4" s="14" t="inlineStr">
        <is>
          <t>散客</t>
        </is>
      </c>
      <c r="E4" s="13" t="inlineStr">
        <is>
          <t>UN-001</t>
        </is>
      </c>
      <c r="F4" s="12" t="inlineStr">
        <is>
          <t>内裤</t>
        </is>
      </c>
      <c r="G4" s="14" t="inlineStr">
        <is>
          <t>纯棉平角内裤(男)</t>
        </is>
      </c>
      <c r="H4" s="12" t="inlineStr">
        <is>
          <t>M</t>
        </is>
      </c>
      <c r="I4" s="6" t="n">
        <v>3</v>
      </c>
      <c r="J4" s="5" t="n">
        <v>8.9</v>
      </c>
      <c r="K4" s="5">
        <f>I4*J4</f>
        <v/>
      </c>
      <c r="L4" s="14" t="inlineStr"/>
    </row>
    <row r="5" ht="14.5" customHeight="1">
      <c r="A5" s="12" t="inlineStr">
        <is>
          <t>2026-06-07</t>
        </is>
      </c>
      <c r="B5" s="13" t="inlineStr">
        <is>
          <t>SO-1002</t>
        </is>
      </c>
      <c r="C5" s="4" t="inlineStr">
        <is>
          <t>零售</t>
        </is>
      </c>
      <c r="D5" s="14" t="inlineStr">
        <is>
          <t>散客</t>
        </is>
      </c>
      <c r="E5" s="13" t="inlineStr">
        <is>
          <t>UN-002</t>
        </is>
      </c>
      <c r="F5" s="12" t="inlineStr">
        <is>
          <t>内裤</t>
        </is>
      </c>
      <c r="G5" s="14" t="inlineStr">
        <is>
          <t>纯棉平角内裤(男)</t>
        </is>
      </c>
      <c r="H5" s="12" t="inlineStr">
        <is>
          <t>L</t>
        </is>
      </c>
      <c r="I5" s="6" t="n">
        <v>2</v>
      </c>
      <c r="J5" s="5" t="n">
        <v>8.9</v>
      </c>
      <c r="K5" s="5">
        <f>I5*J5</f>
        <v/>
      </c>
      <c r="L5" s="14" t="inlineStr"/>
    </row>
    <row r="6" ht="14.5" customHeight="1">
      <c r="A6" s="12" t="inlineStr">
        <is>
          <t>2026-06-07</t>
        </is>
      </c>
      <c r="B6" s="13" t="inlineStr">
        <is>
          <t>SO-1003</t>
        </is>
      </c>
      <c r="C6" s="4" t="inlineStr">
        <is>
          <t>零售</t>
        </is>
      </c>
      <c r="D6" s="14" t="inlineStr">
        <is>
          <t>散客</t>
        </is>
      </c>
      <c r="E6" s="13" t="inlineStr">
        <is>
          <t>SK-001</t>
        </is>
      </c>
      <c r="F6" s="12" t="inlineStr">
        <is>
          <t>袜子</t>
        </is>
      </c>
      <c r="G6" s="14" t="inlineStr">
        <is>
          <t>商务棉袜 3双装</t>
        </is>
      </c>
      <c r="H6" s="12" t="inlineStr">
        <is>
          <t>均码</t>
        </is>
      </c>
      <c r="I6" s="6" t="n">
        <v>4</v>
      </c>
      <c r="J6" s="5" t="n">
        <v>5.5</v>
      </c>
      <c r="K6" s="5">
        <f>I6*J6</f>
        <v/>
      </c>
      <c r="L6" s="14" t="inlineStr"/>
    </row>
    <row r="7" ht="14.5" customHeight="1">
      <c r="A7" s="12" t="inlineStr">
        <is>
          <t>2026-06-07</t>
        </is>
      </c>
      <c r="B7" s="13" t="inlineStr">
        <is>
          <t>SO-1004</t>
        </is>
      </c>
      <c r="C7" s="4" t="inlineStr">
        <is>
          <t>零售</t>
        </is>
      </c>
      <c r="D7" s="14" t="inlineStr">
        <is>
          <t>散客</t>
        </is>
      </c>
      <c r="E7" s="13" t="inlineStr">
        <is>
          <t>BR-001</t>
        </is>
      </c>
      <c r="F7" s="12" t="inlineStr">
        <is>
          <t>内衣</t>
        </is>
      </c>
      <c r="G7" s="14" t="inlineStr">
        <is>
          <t>无钢圈舒适文胸</t>
        </is>
      </c>
      <c r="H7" s="12" t="inlineStr">
        <is>
          <t>34B</t>
        </is>
      </c>
      <c r="I7" s="6" t="n">
        <v>1</v>
      </c>
      <c r="J7" s="5" t="n">
        <v>19.9</v>
      </c>
      <c r="K7" s="5">
        <f>I7*J7</f>
        <v/>
      </c>
      <c r="L7" s="14" t="inlineStr"/>
    </row>
    <row r="8" ht="14.5" customHeight="1">
      <c r="A8" s="12" t="inlineStr">
        <is>
          <t>2026-06-07</t>
        </is>
      </c>
      <c r="B8" s="13" t="inlineStr">
        <is>
          <t>SO-1005</t>
        </is>
      </c>
      <c r="C8" s="4" t="inlineStr">
        <is>
          <t>零售</t>
        </is>
      </c>
      <c r="D8" s="14" t="inlineStr">
        <is>
          <t>散客</t>
        </is>
      </c>
      <c r="E8" s="13" t="inlineStr">
        <is>
          <t>ST-001</t>
        </is>
      </c>
      <c r="F8" s="12" t="inlineStr">
        <is>
          <t>裤袜</t>
        </is>
      </c>
      <c r="G8" s="14" t="inlineStr">
        <is>
          <t>发热保暖连裤袜</t>
        </is>
      </c>
      <c r="H8" s="12" t="inlineStr">
        <is>
          <t>M-L</t>
        </is>
      </c>
      <c r="I8" s="6" t="n">
        <v>1</v>
      </c>
      <c r="J8" s="5" t="n">
        <v>15.9</v>
      </c>
      <c r="K8" s="5">
        <f>I8*J8</f>
        <v/>
      </c>
      <c r="L8" s="14" t="inlineStr"/>
    </row>
    <row r="9" ht="14.5" customHeight="1">
      <c r="A9" s="12" t="inlineStr">
        <is>
          <t>2026-06-08</t>
        </is>
      </c>
      <c r="B9" s="13" t="inlineStr">
        <is>
          <t>SO-1006</t>
        </is>
      </c>
      <c r="C9" s="4" t="inlineStr">
        <is>
          <t>零售</t>
        </is>
      </c>
      <c r="D9" s="14" t="inlineStr">
        <is>
          <t>散客</t>
        </is>
      </c>
      <c r="E9" s="13" t="inlineStr">
        <is>
          <t>UN-001</t>
        </is>
      </c>
      <c r="F9" s="12" t="inlineStr">
        <is>
          <t>内裤</t>
        </is>
      </c>
      <c r="G9" s="14" t="inlineStr">
        <is>
          <t>纯棉平角内裤(男)</t>
        </is>
      </c>
      <c r="H9" s="12" t="inlineStr">
        <is>
          <t>M</t>
        </is>
      </c>
      <c r="I9" s="6" t="n">
        <v>2</v>
      </c>
      <c r="J9" s="5" t="n">
        <v>8.9</v>
      </c>
      <c r="K9" s="5">
        <f>I9*J9</f>
        <v/>
      </c>
      <c r="L9" s="14" t="inlineStr"/>
    </row>
    <row r="10" ht="14.5" customHeight="1">
      <c r="A10" s="12" t="inlineStr">
        <is>
          <t>2026-06-08</t>
        </is>
      </c>
      <c r="B10" s="13" t="inlineStr">
        <is>
          <t>SO-1007</t>
        </is>
      </c>
      <c r="C10" s="4" t="inlineStr">
        <is>
          <t>零售</t>
        </is>
      </c>
      <c r="D10" s="14" t="inlineStr">
        <is>
          <t>散客</t>
        </is>
      </c>
      <c r="E10" s="13" t="inlineStr">
        <is>
          <t>UN-006</t>
        </is>
      </c>
      <c r="F10" s="12" t="inlineStr">
        <is>
          <t>内裤</t>
        </is>
      </c>
      <c r="G10" s="14" t="inlineStr">
        <is>
          <t>蕾丝三角内裤(女)</t>
        </is>
      </c>
      <c r="H10" s="12" t="inlineStr">
        <is>
          <t>M</t>
        </is>
      </c>
      <c r="I10" s="6" t="n">
        <v>3</v>
      </c>
      <c r="J10" s="5" t="n">
        <v>7.9</v>
      </c>
      <c r="K10" s="5">
        <f>I10*J10</f>
        <v/>
      </c>
      <c r="L10" s="14" t="inlineStr"/>
    </row>
    <row r="11" ht="14.5" customHeight="1">
      <c r="A11" s="12" t="inlineStr">
        <is>
          <t>2026-06-08</t>
        </is>
      </c>
      <c r="B11" s="13" t="inlineStr">
        <is>
          <t>SO-1008</t>
        </is>
      </c>
      <c r="C11" s="4" t="inlineStr">
        <is>
          <t>零售</t>
        </is>
      </c>
      <c r="D11" s="14" t="inlineStr">
        <is>
          <t>散客</t>
        </is>
      </c>
      <c r="E11" s="13" t="inlineStr">
        <is>
          <t>SK-003</t>
        </is>
      </c>
      <c r="F11" s="12" t="inlineStr">
        <is>
          <t>袜子</t>
        </is>
      </c>
      <c r="G11" s="14" t="inlineStr">
        <is>
          <t>运动短袜(男)</t>
        </is>
      </c>
      <c r="H11" s="12" t="inlineStr">
        <is>
          <t>均码</t>
        </is>
      </c>
      <c r="I11" s="6" t="n">
        <v>2</v>
      </c>
      <c r="J11" s="5" t="n">
        <v>6.9</v>
      </c>
      <c r="K11" s="5">
        <f>I11*J11</f>
        <v/>
      </c>
      <c r="L11" s="14" t="inlineStr"/>
    </row>
    <row r="12" ht="14.5" customHeight="1">
      <c r="A12" s="12" t="inlineStr">
        <is>
          <t>2026-06-08</t>
        </is>
      </c>
      <c r="B12" s="13" t="inlineStr">
        <is>
          <t>SO-1009</t>
        </is>
      </c>
      <c r="C12" s="4" t="inlineStr">
        <is>
          <t>零售</t>
        </is>
      </c>
      <c r="D12" s="14" t="inlineStr">
        <is>
          <t>散客</t>
        </is>
      </c>
      <c r="E12" s="13" t="inlineStr">
        <is>
          <t>BR-002</t>
        </is>
      </c>
      <c r="F12" s="12" t="inlineStr">
        <is>
          <t>内衣</t>
        </is>
      </c>
      <c r="G12" s="14" t="inlineStr">
        <is>
          <t>无钢圈舒适文胸</t>
        </is>
      </c>
      <c r="H12" s="12" t="inlineStr">
        <is>
          <t>36B</t>
        </is>
      </c>
      <c r="I12" s="6" t="n">
        <v>1</v>
      </c>
      <c r="J12" s="5" t="n">
        <v>19.9</v>
      </c>
      <c r="K12" s="5">
        <f>I12*J12</f>
        <v/>
      </c>
      <c r="L12" s="14" t="inlineStr"/>
    </row>
    <row r="13" ht="14.5" customHeight="1">
      <c r="A13" s="12" t="inlineStr">
        <is>
          <t>2026-06-09</t>
        </is>
      </c>
      <c r="B13" s="13" t="inlineStr">
        <is>
          <t>SO-1010</t>
        </is>
      </c>
      <c r="C13" s="4" t="inlineStr">
        <is>
          <t>零售</t>
        </is>
      </c>
      <c r="D13" s="14" t="inlineStr">
        <is>
          <t>散客</t>
        </is>
      </c>
      <c r="E13" s="13" t="inlineStr">
        <is>
          <t>UN-002</t>
        </is>
      </c>
      <c r="F13" s="12" t="inlineStr">
        <is>
          <t>内裤</t>
        </is>
      </c>
      <c r="G13" s="14" t="inlineStr">
        <is>
          <t>纯棉平角内裤(男)</t>
        </is>
      </c>
      <c r="H13" s="12" t="inlineStr">
        <is>
          <t>L</t>
        </is>
      </c>
      <c r="I13" s="6" t="n">
        <v>4</v>
      </c>
      <c r="J13" s="5" t="n">
        <v>8.9</v>
      </c>
      <c r="K13" s="5">
        <f>I13*J13</f>
        <v/>
      </c>
      <c r="L13" s="14" t="inlineStr"/>
    </row>
    <row r="14" ht="14.5" customHeight="1">
      <c r="A14" s="12" t="inlineStr">
        <is>
          <t>2026-06-09</t>
        </is>
      </c>
      <c r="B14" s="13" t="inlineStr">
        <is>
          <t>SO-1011</t>
        </is>
      </c>
      <c r="C14" s="4" t="inlineStr">
        <is>
          <t>零售</t>
        </is>
      </c>
      <c r="D14" s="14" t="inlineStr">
        <is>
          <t>散客</t>
        </is>
      </c>
      <c r="E14" s="13" t="inlineStr">
        <is>
          <t>UN-004</t>
        </is>
      </c>
      <c r="F14" s="12" t="inlineStr">
        <is>
          <t>内裤</t>
        </is>
      </c>
      <c r="G14" s="14" t="inlineStr">
        <is>
          <t>冰丝三角内裤(男)</t>
        </is>
      </c>
      <c r="H14" s="12" t="inlineStr">
        <is>
          <t>M</t>
        </is>
      </c>
      <c r="I14" s="6" t="n">
        <v>2</v>
      </c>
      <c r="J14" s="5" t="n">
        <v>6.5</v>
      </c>
      <c r="K14" s="5">
        <f>I14*J14</f>
        <v/>
      </c>
      <c r="L14" s="14" t="inlineStr"/>
    </row>
    <row r="15" ht="14.5" customHeight="1">
      <c r="A15" s="12" t="inlineStr">
        <is>
          <t>2026-06-09</t>
        </is>
      </c>
      <c r="B15" s="13" t="inlineStr">
        <is>
          <t>SO-1012</t>
        </is>
      </c>
      <c r="C15" s="4" t="inlineStr">
        <is>
          <t>零售</t>
        </is>
      </c>
      <c r="D15" s="14" t="inlineStr">
        <is>
          <t>散客</t>
        </is>
      </c>
      <c r="E15" s="13" t="inlineStr">
        <is>
          <t>SK-002</t>
        </is>
      </c>
      <c r="F15" s="12" t="inlineStr">
        <is>
          <t>袜子</t>
        </is>
      </c>
      <c r="G15" s="14" t="inlineStr">
        <is>
          <t>商务棉袜 3双装</t>
        </is>
      </c>
      <c r="H15" s="12" t="inlineStr">
        <is>
          <t>均码</t>
        </is>
      </c>
      <c r="I15" s="6" t="n">
        <v>3</v>
      </c>
      <c r="J15" s="5" t="n">
        <v>5.5</v>
      </c>
      <c r="K15" s="5">
        <f>I15*J15</f>
        <v/>
      </c>
      <c r="L15" s="14" t="inlineStr"/>
    </row>
    <row r="16" ht="14.5" customHeight="1">
      <c r="A16" s="12" t="inlineStr">
        <is>
          <t>2026-06-09</t>
        </is>
      </c>
      <c r="B16" s="13" t="inlineStr">
        <is>
          <t>SO-1013</t>
        </is>
      </c>
      <c r="C16" s="4" t="inlineStr">
        <is>
          <t>零售</t>
        </is>
      </c>
      <c r="D16" s="14" t="inlineStr">
        <is>
          <t>散客</t>
        </is>
      </c>
      <c r="E16" s="13" t="inlineStr">
        <is>
          <t>ST-003</t>
        </is>
      </c>
      <c r="F16" s="12" t="inlineStr">
        <is>
          <t>裤袜</t>
        </is>
      </c>
      <c r="G16" s="14" t="inlineStr">
        <is>
          <t>压力美腿连裤袜</t>
        </is>
      </c>
      <c r="H16" s="12" t="inlineStr">
        <is>
          <t>M-L</t>
        </is>
      </c>
      <c r="I16" s="6" t="n">
        <v>1</v>
      </c>
      <c r="J16" s="5" t="n">
        <v>18.9</v>
      </c>
      <c r="K16" s="5">
        <f>I16*J16</f>
        <v/>
      </c>
      <c r="L16" s="14" t="inlineStr"/>
    </row>
    <row r="17" ht="14.5" customHeight="1">
      <c r="A17" s="12" t="inlineStr">
        <is>
          <t>2026-06-09</t>
        </is>
      </c>
      <c r="B17" s="13" t="inlineStr">
        <is>
          <t>SO-1014</t>
        </is>
      </c>
      <c r="C17" s="4" t="inlineStr">
        <is>
          <t>零售</t>
        </is>
      </c>
      <c r="D17" s="14" t="inlineStr">
        <is>
          <t>散客</t>
        </is>
      </c>
      <c r="E17" s="13" t="inlineStr">
        <is>
          <t>BR-004</t>
        </is>
      </c>
      <c r="F17" s="12" t="inlineStr">
        <is>
          <t>内衣</t>
        </is>
      </c>
      <c r="G17" s="14" t="inlineStr">
        <is>
          <t>聚拢调整型文胸</t>
        </is>
      </c>
      <c r="H17" s="12" t="inlineStr">
        <is>
          <t>34B</t>
        </is>
      </c>
      <c r="I17" s="6" t="n">
        <v>1</v>
      </c>
      <c r="J17" s="5" t="n">
        <v>25.9</v>
      </c>
      <c r="K17" s="5">
        <f>I17*J17</f>
        <v/>
      </c>
      <c r="L17" s="14" t="inlineStr"/>
    </row>
    <row r="18" ht="14.5" customHeight="1">
      <c r="A18" s="12" t="inlineStr">
        <is>
          <t>2026-06-10</t>
        </is>
      </c>
      <c r="B18" s="13" t="inlineStr">
        <is>
          <t>SO-1015</t>
        </is>
      </c>
      <c r="C18" s="4" t="inlineStr">
        <is>
          <t>零售</t>
        </is>
      </c>
      <c r="D18" s="14" t="inlineStr">
        <is>
          <t>散客</t>
        </is>
      </c>
      <c r="E18" s="13" t="inlineStr">
        <is>
          <t>UN-001</t>
        </is>
      </c>
      <c r="F18" s="12" t="inlineStr">
        <is>
          <t>内裤</t>
        </is>
      </c>
      <c r="G18" s="14" t="inlineStr">
        <is>
          <t>纯棉平角内裤(男)</t>
        </is>
      </c>
      <c r="H18" s="12" t="inlineStr">
        <is>
          <t>M</t>
        </is>
      </c>
      <c r="I18" s="6" t="n">
        <v>3</v>
      </c>
      <c r="J18" s="5" t="n">
        <v>8.9</v>
      </c>
      <c r="K18" s="5">
        <f>I18*J18</f>
        <v/>
      </c>
      <c r="L18" s="14" t="inlineStr"/>
    </row>
    <row r="19" ht="14.5" customHeight="1">
      <c r="A19" s="12" t="inlineStr">
        <is>
          <t>2026-06-10</t>
        </is>
      </c>
      <c r="B19" s="13" t="inlineStr">
        <is>
          <t>SO-1016</t>
        </is>
      </c>
      <c r="C19" s="4" t="inlineStr">
        <is>
          <t>零售</t>
        </is>
      </c>
      <c r="D19" s="14" t="inlineStr">
        <is>
          <t>散客</t>
        </is>
      </c>
      <c r="E19" s="13" t="inlineStr">
        <is>
          <t>UN-003</t>
        </is>
      </c>
      <c r="F19" s="12" t="inlineStr">
        <is>
          <t>内裤</t>
        </is>
      </c>
      <c r="G19" s="14" t="inlineStr">
        <is>
          <t>纯棉平角内裤(男)</t>
        </is>
      </c>
      <c r="H19" s="12" t="inlineStr">
        <is>
          <t>XL</t>
        </is>
      </c>
      <c r="I19" s="6" t="n">
        <v>2</v>
      </c>
      <c r="J19" s="5" t="n">
        <v>8.9</v>
      </c>
      <c r="K19" s="5">
        <f>I19*J19</f>
        <v/>
      </c>
      <c r="L19" s="14" t="inlineStr"/>
    </row>
    <row r="20" ht="14.5" customHeight="1">
      <c r="A20" s="12" t="inlineStr">
        <is>
          <t>2026-06-10</t>
        </is>
      </c>
      <c r="B20" s="13" t="inlineStr">
        <is>
          <t>SO-1017</t>
        </is>
      </c>
      <c r="C20" s="4" t="inlineStr">
        <is>
          <t>零售</t>
        </is>
      </c>
      <c r="D20" s="14" t="inlineStr">
        <is>
          <t>散客</t>
        </is>
      </c>
      <c r="E20" s="13" t="inlineStr">
        <is>
          <t>SK-005</t>
        </is>
      </c>
      <c r="F20" s="12" t="inlineStr">
        <is>
          <t>袜子</t>
        </is>
      </c>
      <c r="G20" s="14" t="inlineStr">
        <is>
          <t>彩色棉袜(女)</t>
        </is>
      </c>
      <c r="H20" s="12" t="inlineStr">
        <is>
          <t>均码</t>
        </is>
      </c>
      <c r="I20" s="6" t="n">
        <v>5</v>
      </c>
      <c r="J20" s="5" t="n">
        <v>7.9</v>
      </c>
      <c r="K20" s="5">
        <f>I20*J20</f>
        <v/>
      </c>
      <c r="L20" s="14" t="inlineStr"/>
    </row>
    <row r="21" ht="14.5" customHeight="1">
      <c r="A21" s="12" t="inlineStr">
        <is>
          <t>2026-06-10</t>
        </is>
      </c>
      <c r="B21" s="13" t="inlineStr">
        <is>
          <t>SO-1018</t>
        </is>
      </c>
      <c r="C21" s="4" t="inlineStr">
        <is>
          <t>零售</t>
        </is>
      </c>
      <c r="D21" s="14" t="inlineStr">
        <is>
          <t>散客</t>
        </is>
      </c>
      <c r="E21" s="13" t="inlineStr">
        <is>
          <t>BR-003</t>
        </is>
      </c>
      <c r="F21" s="12" t="inlineStr">
        <is>
          <t>内衣</t>
        </is>
      </c>
      <c r="G21" s="14" t="inlineStr">
        <is>
          <t>无钢圈舒适文胸</t>
        </is>
      </c>
      <c r="H21" s="12" t="inlineStr">
        <is>
          <t>34C</t>
        </is>
      </c>
      <c r="I21" s="6" t="n">
        <v>1</v>
      </c>
      <c r="J21" s="5" t="n">
        <v>19.9</v>
      </c>
      <c r="K21" s="5">
        <f>I21*J21</f>
        <v/>
      </c>
      <c r="L21" s="14" t="inlineStr"/>
    </row>
    <row r="22" ht="14.5" customHeight="1">
      <c r="A22" s="12" t="inlineStr">
        <is>
          <t>2026-06-11</t>
        </is>
      </c>
      <c r="B22" s="13" t="inlineStr">
        <is>
          <t>SO-1019</t>
        </is>
      </c>
      <c r="C22" s="4" t="inlineStr">
        <is>
          <t>零售</t>
        </is>
      </c>
      <c r="D22" s="14" t="inlineStr">
        <is>
          <t>散客</t>
        </is>
      </c>
      <c r="E22" s="13" t="inlineStr">
        <is>
          <t>UN-002</t>
        </is>
      </c>
      <c r="F22" s="12" t="inlineStr">
        <is>
          <t>内裤</t>
        </is>
      </c>
      <c r="G22" s="14" t="inlineStr">
        <is>
          <t>纯棉平角内裤(男)</t>
        </is>
      </c>
      <c r="H22" s="12" t="inlineStr">
        <is>
          <t>L</t>
        </is>
      </c>
      <c r="I22" s="6" t="n">
        <v>3</v>
      </c>
      <c r="J22" s="5" t="n">
        <v>8.9</v>
      </c>
      <c r="K22" s="5">
        <f>I22*J22</f>
        <v/>
      </c>
      <c r="L22" s="14" t="inlineStr"/>
    </row>
    <row r="23" ht="14.5" customHeight="1">
      <c r="A23" s="12" t="inlineStr">
        <is>
          <t>2026-06-11</t>
        </is>
      </c>
      <c r="B23" s="13" t="inlineStr">
        <is>
          <t>SO-1020</t>
        </is>
      </c>
      <c r="C23" s="4" t="inlineStr">
        <is>
          <t>零售</t>
        </is>
      </c>
      <c r="D23" s="14" t="inlineStr">
        <is>
          <t>散客</t>
        </is>
      </c>
      <c r="E23" s="13" t="inlineStr">
        <is>
          <t>UN-007</t>
        </is>
      </c>
      <c r="F23" s="12" t="inlineStr">
        <is>
          <t>内裤</t>
        </is>
      </c>
      <c r="G23" s="14" t="inlineStr">
        <is>
          <t>蕾丝三角内裤(女)</t>
        </is>
      </c>
      <c r="H23" s="12" t="inlineStr">
        <is>
          <t>L</t>
        </is>
      </c>
      <c r="I23" s="6" t="n">
        <v>2</v>
      </c>
      <c r="J23" s="5" t="n">
        <v>7.9</v>
      </c>
      <c r="K23" s="5">
        <f>I23*J23</f>
        <v/>
      </c>
      <c r="L23" s="14" t="inlineStr"/>
    </row>
    <row r="24" ht="14.5" customHeight="1">
      <c r="A24" s="12" t="inlineStr">
        <is>
          <t>2026-06-11</t>
        </is>
      </c>
      <c r="B24" s="13" t="inlineStr">
        <is>
          <t>SO-1021</t>
        </is>
      </c>
      <c r="C24" s="4" t="inlineStr">
        <is>
          <t>零售</t>
        </is>
      </c>
      <c r="D24" s="14" t="inlineStr">
        <is>
          <t>散客</t>
        </is>
      </c>
      <c r="E24" s="13" t="inlineStr">
        <is>
          <t>SK-001</t>
        </is>
      </c>
      <c r="F24" s="12" t="inlineStr">
        <is>
          <t>袜子</t>
        </is>
      </c>
      <c r="G24" s="14" t="inlineStr">
        <is>
          <t>商务棉袜 3双装</t>
        </is>
      </c>
      <c r="H24" s="12" t="inlineStr">
        <is>
          <t>均码</t>
        </is>
      </c>
      <c r="I24" s="6" t="n">
        <v>5</v>
      </c>
      <c r="J24" s="5" t="n">
        <v>5.5</v>
      </c>
      <c r="K24" s="5">
        <f>I24*J24</f>
        <v/>
      </c>
      <c r="L24" s="14" t="inlineStr"/>
    </row>
    <row r="25" ht="14.5" customHeight="1">
      <c r="A25" s="12" t="inlineStr">
        <is>
          <t>2026-06-11</t>
        </is>
      </c>
      <c r="B25" s="13" t="inlineStr">
        <is>
          <t>SO-1022</t>
        </is>
      </c>
      <c r="C25" s="4" t="inlineStr">
        <is>
          <t>零售</t>
        </is>
      </c>
      <c r="D25" s="14" t="inlineStr">
        <is>
          <t>散客</t>
        </is>
      </c>
      <c r="E25" s="13" t="inlineStr">
        <is>
          <t>ST-002</t>
        </is>
      </c>
      <c r="F25" s="12" t="inlineStr">
        <is>
          <t>裤袜</t>
        </is>
      </c>
      <c r="G25" s="14" t="inlineStr">
        <is>
          <t>发热保暖连裤袜</t>
        </is>
      </c>
      <c r="H25" s="12" t="inlineStr">
        <is>
          <t>L-LL</t>
        </is>
      </c>
      <c r="I25" s="6" t="n">
        <v>2</v>
      </c>
      <c r="J25" s="5" t="n">
        <v>15.9</v>
      </c>
      <c r="K25" s="5">
        <f>I25*J25</f>
        <v/>
      </c>
      <c r="L25" s="14" t="inlineStr"/>
    </row>
    <row r="26" ht="14.5" customHeight="1">
      <c r="A26" s="12" t="inlineStr">
        <is>
          <t>2026-06-12</t>
        </is>
      </c>
      <c r="B26" s="13" t="inlineStr">
        <is>
          <t>SO-1023</t>
        </is>
      </c>
      <c r="C26" s="4" t="inlineStr">
        <is>
          <t>零售</t>
        </is>
      </c>
      <c r="D26" s="14" t="inlineStr">
        <is>
          <t>散客</t>
        </is>
      </c>
      <c r="E26" s="13" t="inlineStr">
        <is>
          <t>UN-001</t>
        </is>
      </c>
      <c r="F26" s="12" t="inlineStr">
        <is>
          <t>内裤</t>
        </is>
      </c>
      <c r="G26" s="14" t="inlineStr">
        <is>
          <t>纯棉平角内裤(男)</t>
        </is>
      </c>
      <c r="H26" s="12" t="inlineStr">
        <is>
          <t>M</t>
        </is>
      </c>
      <c r="I26" s="6" t="n">
        <v>4</v>
      </c>
      <c r="J26" s="5" t="n">
        <v>8.9</v>
      </c>
      <c r="K26" s="5">
        <f>I26*J26</f>
        <v/>
      </c>
      <c r="L26" s="14" t="inlineStr"/>
    </row>
    <row r="27" ht="14.5" customHeight="1">
      <c r="A27" s="12" t="inlineStr">
        <is>
          <t>2026-06-12</t>
        </is>
      </c>
      <c r="B27" s="13" t="inlineStr">
        <is>
          <t>SO-1024</t>
        </is>
      </c>
      <c r="C27" s="4" t="inlineStr">
        <is>
          <t>零售</t>
        </is>
      </c>
      <c r="D27" s="14" t="inlineStr">
        <is>
          <t>散客</t>
        </is>
      </c>
      <c r="E27" s="13" t="inlineStr">
        <is>
          <t>UN-005</t>
        </is>
      </c>
      <c r="F27" s="12" t="inlineStr">
        <is>
          <t>内裤</t>
        </is>
      </c>
      <c r="G27" s="14" t="inlineStr">
        <is>
          <t>冰丝三角内裤(男)</t>
        </is>
      </c>
      <c r="H27" s="12" t="inlineStr">
        <is>
          <t>L</t>
        </is>
      </c>
      <c r="I27" s="6" t="n">
        <v>1</v>
      </c>
      <c r="J27" s="5" t="n">
        <v>6.5</v>
      </c>
      <c r="K27" s="5">
        <f>I27*J27</f>
        <v/>
      </c>
      <c r="L27" s="14" t="inlineStr"/>
    </row>
    <row r="28" ht="14.5" customHeight="1">
      <c r="A28" s="12" t="inlineStr">
        <is>
          <t>2026-06-12</t>
        </is>
      </c>
      <c r="B28" s="13" t="inlineStr">
        <is>
          <t>SO-1025</t>
        </is>
      </c>
      <c r="C28" s="4" t="inlineStr">
        <is>
          <t>零售</t>
        </is>
      </c>
      <c r="D28" s="14" t="inlineStr">
        <is>
          <t>散客</t>
        </is>
      </c>
      <c r="E28" s="13" t="inlineStr">
        <is>
          <t>SK-004</t>
        </is>
      </c>
      <c r="F28" s="12" t="inlineStr">
        <is>
          <t>袜子</t>
        </is>
      </c>
      <c r="G28" s="14" t="inlineStr">
        <is>
          <t>运动短袜(女)</t>
        </is>
      </c>
      <c r="H28" s="12" t="inlineStr">
        <is>
          <t>均码</t>
        </is>
      </c>
      <c r="I28" s="6" t="n">
        <v>3</v>
      </c>
      <c r="J28" s="5" t="n">
        <v>6.9</v>
      </c>
      <c r="K28" s="5">
        <f>I28*J28</f>
        <v/>
      </c>
      <c r="L28" s="14" t="inlineStr"/>
    </row>
    <row r="29" ht="14.5" customHeight="1">
      <c r="A29" s="12" t="inlineStr">
        <is>
          <t>2026-06-12</t>
        </is>
      </c>
      <c r="B29" s="13" t="inlineStr">
        <is>
          <t>SO-1026</t>
        </is>
      </c>
      <c r="C29" s="4" t="inlineStr">
        <is>
          <t>零售</t>
        </is>
      </c>
      <c r="D29" s="14" t="inlineStr">
        <is>
          <t>散客</t>
        </is>
      </c>
      <c r="E29" s="13" t="inlineStr">
        <is>
          <t>BR-005</t>
        </is>
      </c>
      <c r="F29" s="12" t="inlineStr">
        <is>
          <t>内衣</t>
        </is>
      </c>
      <c r="G29" s="14" t="inlineStr">
        <is>
          <t>聚拢调整型文胸</t>
        </is>
      </c>
      <c r="H29" s="12" t="inlineStr">
        <is>
          <t>36C</t>
        </is>
      </c>
      <c r="I29" s="6" t="n">
        <v>1</v>
      </c>
      <c r="J29" s="5" t="n">
        <v>25.9</v>
      </c>
      <c r="K29" s="5">
        <f>I29*J29</f>
        <v/>
      </c>
      <c r="L29" s="14" t="inlineStr"/>
    </row>
    <row r="30" ht="14.5" customHeight="1">
      <c r="A30" s="12" t="inlineStr">
        <is>
          <t>2026-06-12</t>
        </is>
      </c>
      <c r="B30" s="13" t="inlineStr">
        <is>
          <t>SO-1027</t>
        </is>
      </c>
      <c r="C30" s="4" t="inlineStr">
        <is>
          <t>零售</t>
        </is>
      </c>
      <c r="D30" s="14" t="inlineStr">
        <is>
          <t>散客</t>
        </is>
      </c>
      <c r="E30" s="13" t="inlineStr">
        <is>
          <t>BR-001</t>
        </is>
      </c>
      <c r="F30" s="12" t="inlineStr">
        <is>
          <t>内衣</t>
        </is>
      </c>
      <c r="G30" s="14" t="inlineStr">
        <is>
          <t>无钢圈舒适文胸</t>
        </is>
      </c>
      <c r="H30" s="12" t="inlineStr">
        <is>
          <t>34B</t>
        </is>
      </c>
      <c r="I30" s="6" t="n">
        <v>2</v>
      </c>
      <c r="J30" s="5" t="n">
        <v>19.9</v>
      </c>
      <c r="K30" s="5">
        <f>I30*J30</f>
        <v/>
      </c>
      <c r="L30" s="14" t="inlineStr"/>
    </row>
    <row r="31" ht="14.5" customHeight="1">
      <c r="A31" s="12" t="inlineStr">
        <is>
          <t>2026-06-13</t>
        </is>
      </c>
      <c r="B31" s="13" t="inlineStr">
        <is>
          <t>SO-1028</t>
        </is>
      </c>
      <c r="C31" s="4" t="inlineStr">
        <is>
          <t>零售</t>
        </is>
      </c>
      <c r="D31" s="14" t="inlineStr">
        <is>
          <t>散客</t>
        </is>
      </c>
      <c r="E31" s="13" t="inlineStr">
        <is>
          <t>UN-001</t>
        </is>
      </c>
      <c r="F31" s="12" t="inlineStr">
        <is>
          <t>内裤</t>
        </is>
      </c>
      <c r="G31" s="14" t="inlineStr">
        <is>
          <t>纯棉平角内裤(男)</t>
        </is>
      </c>
      <c r="H31" s="12" t="inlineStr">
        <is>
          <t>M</t>
        </is>
      </c>
      <c r="I31" s="6" t="n">
        <v>2</v>
      </c>
      <c r="J31" s="5" t="n">
        <v>8.9</v>
      </c>
      <c r="K31" s="5">
        <f>I31*J31</f>
        <v/>
      </c>
      <c r="L31" s="14" t="inlineStr"/>
    </row>
    <row r="32" ht="14.5" customHeight="1">
      <c r="A32" s="12" t="inlineStr">
        <is>
          <t>2026-06-13</t>
        </is>
      </c>
      <c r="B32" s="13" t="inlineStr">
        <is>
          <t>SO-1029</t>
        </is>
      </c>
      <c r="C32" s="4" t="inlineStr">
        <is>
          <t>零售</t>
        </is>
      </c>
      <c r="D32" s="14" t="inlineStr">
        <is>
          <t>散客</t>
        </is>
      </c>
      <c r="E32" s="13" t="inlineStr">
        <is>
          <t>UN-006</t>
        </is>
      </c>
      <c r="F32" s="12" t="inlineStr">
        <is>
          <t>内裤</t>
        </is>
      </c>
      <c r="G32" s="14" t="inlineStr">
        <is>
          <t>蕾丝三角内裤(女)</t>
        </is>
      </c>
      <c r="H32" s="12" t="inlineStr">
        <is>
          <t>M</t>
        </is>
      </c>
      <c r="I32" s="6" t="n">
        <v>4</v>
      </c>
      <c r="J32" s="5" t="n">
        <v>7.9</v>
      </c>
      <c r="K32" s="5">
        <f>I32*J32</f>
        <v/>
      </c>
      <c r="L32" s="14" t="inlineStr"/>
    </row>
    <row r="33" ht="14.5" customHeight="1">
      <c r="A33" s="12" t="inlineStr">
        <is>
          <t>2026-06-13</t>
        </is>
      </c>
      <c r="B33" s="13" t="inlineStr">
        <is>
          <t>SO-1030</t>
        </is>
      </c>
      <c r="C33" s="4" t="inlineStr">
        <is>
          <t>零售</t>
        </is>
      </c>
      <c r="D33" s="14" t="inlineStr">
        <is>
          <t>散客</t>
        </is>
      </c>
      <c r="E33" s="13" t="inlineStr">
        <is>
          <t>SK-002</t>
        </is>
      </c>
      <c r="F33" s="12" t="inlineStr">
        <is>
          <t>袜子</t>
        </is>
      </c>
      <c r="G33" s="14" t="inlineStr">
        <is>
          <t>商务棉袜 3双装</t>
        </is>
      </c>
      <c r="H33" s="12" t="inlineStr">
        <is>
          <t>均码</t>
        </is>
      </c>
      <c r="I33" s="6" t="n">
        <v>3</v>
      </c>
      <c r="J33" s="5" t="n">
        <v>5.5</v>
      </c>
      <c r="K33" s="5">
        <f>I33*J33</f>
        <v/>
      </c>
      <c r="L33" s="14" t="inlineStr"/>
    </row>
    <row r="34" ht="14.5" customHeight="1">
      <c r="A34" s="12" t="inlineStr">
        <is>
          <t>2026-06-13</t>
        </is>
      </c>
      <c r="B34" s="13" t="inlineStr">
        <is>
          <t>SO-1031</t>
        </is>
      </c>
      <c r="C34" s="4" t="inlineStr">
        <is>
          <t>零售</t>
        </is>
      </c>
      <c r="D34" s="14" t="inlineStr">
        <is>
          <t>散客</t>
        </is>
      </c>
      <c r="E34" s="13" t="inlineStr">
        <is>
          <t>ST-001</t>
        </is>
      </c>
      <c r="F34" s="12" t="inlineStr">
        <is>
          <t>裤袜</t>
        </is>
      </c>
      <c r="G34" s="14" t="inlineStr">
        <is>
          <t>发热保暖连裤袜</t>
        </is>
      </c>
      <c r="H34" s="12" t="inlineStr">
        <is>
          <t>M-L</t>
        </is>
      </c>
      <c r="I34" s="6" t="n">
        <v>1</v>
      </c>
      <c r="J34" s="5" t="n">
        <v>15.9</v>
      </c>
      <c r="K34" s="5">
        <f>I34*J34</f>
        <v/>
      </c>
      <c r="L34" s="14" t="inlineStr"/>
    </row>
    <row r="35" ht="14.5" customHeight="1">
      <c r="A35" s="12" t="inlineStr">
        <is>
          <t>2026-06-08</t>
        </is>
      </c>
      <c r="B35" s="13" t="inlineStr">
        <is>
          <t>SO-1032</t>
        </is>
      </c>
      <c r="C35" s="4" t="inlineStr">
        <is>
          <t>批发</t>
        </is>
      </c>
      <c r="D35" s="14" t="inlineStr">
        <is>
          <t>阿明杂货店</t>
        </is>
      </c>
      <c r="E35" s="13" t="inlineStr">
        <is>
          <t>UN-002</t>
        </is>
      </c>
      <c r="F35" s="12" t="inlineStr">
        <is>
          <t>内裤</t>
        </is>
      </c>
      <c r="G35" s="14" t="inlineStr">
        <is>
          <t>纯棉平角内裤(男)</t>
        </is>
      </c>
      <c r="H35" s="12" t="inlineStr">
        <is>
          <t>L</t>
        </is>
      </c>
      <c r="I35" s="6" t="n">
        <v>10</v>
      </c>
      <c r="J35" s="5" t="n">
        <v>7.5</v>
      </c>
      <c r="K35" s="5">
        <f>I35*J35</f>
        <v/>
      </c>
      <c r="L35" s="14" t="inlineStr"/>
    </row>
    <row r="36" ht="14.5" customHeight="1">
      <c r="A36" s="12" t="inlineStr">
        <is>
          <t>2026-06-10</t>
        </is>
      </c>
      <c r="B36" s="13" t="inlineStr">
        <is>
          <t>SO-1033</t>
        </is>
      </c>
      <c r="C36" s="4" t="inlineStr">
        <is>
          <t>批发</t>
        </is>
      </c>
      <c r="D36" s="14" t="inlineStr">
        <is>
          <t>美美服饰</t>
        </is>
      </c>
      <c r="E36" s="13" t="inlineStr">
        <is>
          <t>SK-001</t>
        </is>
      </c>
      <c r="F36" s="12" t="inlineStr">
        <is>
          <t>袜子</t>
        </is>
      </c>
      <c r="G36" s="14" t="inlineStr">
        <is>
          <t>商务棉袜 3双装</t>
        </is>
      </c>
      <c r="H36" s="12" t="inlineStr">
        <is>
          <t>均码</t>
        </is>
      </c>
      <c r="I36" s="6" t="n">
        <v>20</v>
      </c>
      <c r="J36" s="5" t="n">
        <v>4.6</v>
      </c>
      <c r="K36" s="5">
        <f>I36*J36</f>
        <v/>
      </c>
      <c r="L36" s="14" t="inlineStr"/>
    </row>
    <row r="37" ht="14.5" customHeight="1">
      <c r="A37" s="12" t="inlineStr">
        <is>
          <t>2026-06-11</t>
        </is>
      </c>
      <c r="B37" s="13" t="inlineStr">
        <is>
          <t>SO-1034</t>
        </is>
      </c>
      <c r="C37" s="4" t="inlineStr">
        <is>
          <t>批发</t>
        </is>
      </c>
      <c r="D37" s="14" t="inlineStr">
        <is>
          <t>阿明杂货店</t>
        </is>
      </c>
      <c r="E37" s="13" t="inlineStr">
        <is>
          <t>UN-001</t>
        </is>
      </c>
      <c r="F37" s="12" t="inlineStr">
        <is>
          <t>内裤</t>
        </is>
      </c>
      <c r="G37" s="14" t="inlineStr">
        <is>
          <t>纯棉平角内裤(男)</t>
        </is>
      </c>
      <c r="H37" s="12" t="inlineStr">
        <is>
          <t>M</t>
        </is>
      </c>
      <c r="I37" s="6" t="n">
        <v>15</v>
      </c>
      <c r="J37" s="5" t="n">
        <v>7.5</v>
      </c>
      <c r="K37" s="5">
        <f>I37*J37</f>
        <v/>
      </c>
      <c r="L37" s="14" t="inlineStr"/>
    </row>
    <row r="38" ht="14.5" customHeight="1">
      <c r="A38" s="12" t="inlineStr">
        <is>
          <t>2026-06-12</t>
        </is>
      </c>
      <c r="B38" s="13" t="inlineStr">
        <is>
          <t>SO-1035</t>
        </is>
      </c>
      <c r="C38" s="4" t="inlineStr">
        <is>
          <t>批发</t>
        </is>
      </c>
      <c r="D38" s="14" t="inlineStr">
        <is>
          <t>美美服饰</t>
        </is>
      </c>
      <c r="E38" s="13" t="inlineStr">
        <is>
          <t>BR-002</t>
        </is>
      </c>
      <c r="F38" s="12" t="inlineStr">
        <is>
          <t>内衣</t>
        </is>
      </c>
      <c r="G38" s="14" t="inlineStr">
        <is>
          <t>无钢圈舒适文胸</t>
        </is>
      </c>
      <c r="H38" s="12" t="inlineStr">
        <is>
          <t>36B</t>
        </is>
      </c>
      <c r="I38" s="6" t="n">
        <v>5</v>
      </c>
      <c r="J38" s="5" t="n">
        <v>16.9</v>
      </c>
      <c r="K38" s="5">
        <f>I38*J38</f>
        <v/>
      </c>
      <c r="L38" s="14" t="inlineStr"/>
    </row>
    <row r="39" ht="14.5" customHeight="1">
      <c r="A39" s="12" t="inlineStr"/>
      <c r="B39" s="12" t="inlineStr"/>
      <c r="C39" s="12" t="inlineStr"/>
      <c r="D39" s="14" t="inlineStr"/>
      <c r="E39" s="13" t="inlineStr"/>
      <c r="F39" s="12" t="inlineStr"/>
      <c r="G39" s="14" t="inlineStr"/>
      <c r="H39" s="12" t="inlineStr"/>
      <c r="I39" s="13" t="inlineStr"/>
      <c r="J39" s="13" t="inlineStr"/>
      <c r="K39" s="15">
        <f>I39*J39</f>
        <v/>
      </c>
      <c r="L39" s="12" t="inlineStr"/>
    </row>
  </sheetData>
  <mergeCells count="2">
    <mergeCell ref="A2:N2"/>
    <mergeCell ref="A1:N1"/>
  </mergeCells>
  <conditionalFormatting sqref="A4:L39">
    <cfRule type="expression" priority="1" dxfId="4">
      <formula>$C4="批发"</formula>
    </cfRule>
  </conditionalFormatting>
  <dataValidations count="2">
    <dataValidation sqref="C4:C500" showDropDown="0" showInputMessage="0" showErrorMessage="0" allowBlank="1" error="请选择：零售 或 批发" type="list">
      <formula1>"零售,批发"</formula1>
    </dataValidation>
    <dataValidation sqref="D4:E500" showDropDown="0" showInputMessage="0" showErrorMessage="0" allowBlank="1" error="请选择商品编号" type="list">
      <formula1>"BR-001,BR-002,BR-003,BR-004,BR-005,UN-001,UN-002,UN-003,UN-004,UN-005,UN-006,UN-007,SK-001,SK-002,SK-003,SK-004,SK-005,ST-001,ST-002,ST-003"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1"/>
    <col width="14" customWidth="1" min="2" max="3"/>
    <col width="10" customWidth="1" min="4" max="4"/>
    <col width="14" customWidth="1" min="5" max="5"/>
    <col width="10" customWidth="1" min="6" max="6"/>
    <col width="14" customWidth="1" min="7" max="9"/>
    <col width="10" customWidth="1" min="10" max="10"/>
  </cols>
  <sheetData>
    <row r="1" ht="36" customHeight="1">
      <c r="A1" s="1" t="inlineStr">
        <is>
          <t>记账汇总 — Daily Accounting</t>
        </is>
      </c>
    </row>
    <row r="2" ht="20" customHeight="1">
      <c r="A2" s="2" t="inlineStr">
        <is>
          <t>全自动汇总。每日销售额、成本、利润一键查看。数据取自进货单和销售开单。</t>
        </is>
      </c>
    </row>
    <row r="3" ht="28" customHeight="1">
      <c r="A3" s="3" t="inlineStr">
        <is>
          <t>日期</t>
        </is>
      </c>
      <c r="B3" s="3" t="inlineStr">
        <is>
          <t>进货总额(SGD)</t>
        </is>
      </c>
      <c r="C3" s="3" t="inlineStr">
        <is>
          <t>零售额(SGD)</t>
        </is>
      </c>
      <c r="D3" s="3" t="inlineStr">
        <is>
          <t>零售件数</t>
        </is>
      </c>
      <c r="E3" s="3" t="inlineStr">
        <is>
          <t>批发额(SGD)</t>
        </is>
      </c>
      <c r="F3" s="3" t="inlineStr">
        <is>
          <t>批发件数</t>
        </is>
      </c>
      <c r="G3" s="3" t="inlineStr">
        <is>
          <t>总销售额(SGD)</t>
        </is>
      </c>
      <c r="H3" s="3" t="inlineStr">
        <is>
          <t>总成本(SGD)</t>
        </is>
      </c>
      <c r="I3" s="3" t="inlineStr">
        <is>
          <t>总利润(SGD)</t>
        </is>
      </c>
      <c r="J3" s="3" t="inlineStr">
        <is>
          <t>利润率</t>
        </is>
      </c>
    </row>
    <row r="4" ht="14.5" customHeight="1">
      <c r="A4" s="4" t="inlineStr">
        <is>
          <t>2026-06-01</t>
        </is>
      </c>
      <c r="B4" s="5">
        <f>SUMIF(进货单!A:A,A4,进货单!K:K)</f>
        <v/>
      </c>
      <c r="C4" s="5">
        <f>SUMIFS(销售开单!K:K,销售开单!A:A,A4,销售开单!C:C,"零售")</f>
        <v/>
      </c>
      <c r="D4" s="6">
        <f>SUMIFS(销售开单!I:I,销售开单!A:A,A4,销售开单!C:C,"零售")</f>
        <v/>
      </c>
      <c r="E4" s="5">
        <f>SUMIFS(销售开单!K:K,销售开单!A:A,A4,销售开单!C:C,"批发")</f>
        <v/>
      </c>
      <c r="F4" s="6">
        <f>SUMIFS(销售开单!I:I,销售开单!A:A,A4,销售开单!C:C,"批发")</f>
        <v/>
      </c>
      <c r="G4" s="5">
        <f>C4+E4</f>
        <v/>
      </c>
      <c r="H4" s="5">
        <f>IF(C4+E4=0,0,(C4+E4)*SUMPRODUCT((商品目录!H4:H23)*(商品目录!J4:J23))/SUM(商品目录!H4:H23))</f>
        <v/>
      </c>
      <c r="I4" s="5">
        <f>G4-H4</f>
        <v/>
      </c>
      <c r="J4" s="51">
        <f>IF(G4=0,0,I4/G4)</f>
        <v/>
      </c>
    </row>
    <row r="5" ht="14.5" customHeight="1">
      <c r="A5" s="4" t="inlineStr">
        <is>
          <t>2026-06-07</t>
        </is>
      </c>
      <c r="B5" s="5">
        <f>SUMIF(进货单!A:A,A5,进货单!K:K)</f>
        <v/>
      </c>
      <c r="C5" s="5">
        <f>SUMIFS(销售开单!K:K,销售开单!A:A,A5,销售开单!C:C,"零售")</f>
        <v/>
      </c>
      <c r="D5" s="6">
        <f>SUMIFS(销售开单!I:I,销售开单!A:A,A5,销售开单!C:C,"零售")</f>
        <v/>
      </c>
      <c r="E5" s="5">
        <f>SUMIFS(销售开单!K:K,销售开单!A:A,A5,销售开单!C:C,"批发")</f>
        <v/>
      </c>
      <c r="F5" s="6">
        <f>SUMIFS(销售开单!I:I,销售开单!A:A,A5,销售开单!C:C,"批发")</f>
        <v/>
      </c>
      <c r="G5" s="5">
        <f>C5+E5</f>
        <v/>
      </c>
      <c r="H5" s="5">
        <f>IF(C5+E5=0,0,(C5+E5)*SUMPRODUCT((商品目录!H4:H23)*(商品目录!J4:J23))/SUM(商品目录!H4:H23))</f>
        <v/>
      </c>
      <c r="I5" s="5">
        <f>G5-H5</f>
        <v/>
      </c>
      <c r="J5" s="51">
        <f>IF(G5=0,0,I5/G5)</f>
        <v/>
      </c>
    </row>
    <row r="6" ht="14.5" customHeight="1">
      <c r="A6" s="4" t="inlineStr">
        <is>
          <t>2026-06-08</t>
        </is>
      </c>
      <c r="B6" s="5">
        <f>SUMIF(进货单!A:A,A6,进货单!K:K)</f>
        <v/>
      </c>
      <c r="C6" s="5">
        <f>SUMIFS(销售开单!K:K,销售开单!A:A,A6,销售开单!C:C,"零售")</f>
        <v/>
      </c>
      <c r="D6" s="6">
        <f>SUMIFS(销售开单!I:I,销售开单!A:A,A6,销售开单!C:C,"零售")</f>
        <v/>
      </c>
      <c r="E6" s="5">
        <f>SUMIFS(销售开单!K:K,销售开单!A:A,A6,销售开单!C:C,"批发")</f>
        <v/>
      </c>
      <c r="F6" s="6">
        <f>SUMIFS(销售开单!I:I,销售开单!A:A,A6,销售开单!C:C,"批发")</f>
        <v/>
      </c>
      <c r="G6" s="5">
        <f>C6+E6</f>
        <v/>
      </c>
      <c r="H6" s="5">
        <f>IF(C6+E6=0,0,(C6+E6)*SUMPRODUCT((商品目录!H4:H23)*(商品目录!J4:J23))/SUM(商品目录!H4:H23))</f>
        <v/>
      </c>
      <c r="I6" s="5">
        <f>G6-H6</f>
        <v/>
      </c>
      <c r="J6" s="51">
        <f>IF(G6=0,0,I6/G6)</f>
        <v/>
      </c>
    </row>
    <row r="7" ht="14.5" customHeight="1">
      <c r="A7" s="4" t="inlineStr">
        <is>
          <t>2026-06-09</t>
        </is>
      </c>
      <c r="B7" s="5">
        <f>SUMIF(进货单!A:A,A7,进货单!K:K)</f>
        <v/>
      </c>
      <c r="C7" s="5">
        <f>SUMIFS(销售开单!K:K,销售开单!A:A,A7,销售开单!C:C,"零售")</f>
        <v/>
      </c>
      <c r="D7" s="6">
        <f>SUMIFS(销售开单!I:I,销售开单!A:A,A7,销售开单!C:C,"零售")</f>
        <v/>
      </c>
      <c r="E7" s="5">
        <f>SUMIFS(销售开单!K:K,销售开单!A:A,A7,销售开单!C:C,"批发")</f>
        <v/>
      </c>
      <c r="F7" s="6">
        <f>SUMIFS(销售开单!I:I,销售开单!A:A,A7,销售开单!C:C,"批发")</f>
        <v/>
      </c>
      <c r="G7" s="5">
        <f>C7+E7</f>
        <v/>
      </c>
      <c r="H7" s="5">
        <f>IF(C7+E7=0,0,(C7+E7)*SUMPRODUCT((商品目录!H4:H23)*(商品目录!J4:J23))/SUM(商品目录!H4:H23))</f>
        <v/>
      </c>
      <c r="I7" s="5">
        <f>G7-H7</f>
        <v/>
      </c>
      <c r="J7" s="51">
        <f>IF(G7=0,0,I7/G7)</f>
        <v/>
      </c>
    </row>
    <row r="8" ht="14.5" customHeight="1">
      <c r="A8" s="4" t="inlineStr">
        <is>
          <t>2026-06-10</t>
        </is>
      </c>
      <c r="B8" s="5">
        <f>SUMIF(进货单!A:A,A8,进货单!K:K)</f>
        <v/>
      </c>
      <c r="C8" s="5">
        <f>SUMIFS(销售开单!K:K,销售开单!A:A,A8,销售开单!C:C,"零售")</f>
        <v/>
      </c>
      <c r="D8" s="6">
        <f>SUMIFS(销售开单!I:I,销售开单!A:A,A8,销售开单!C:C,"零售")</f>
        <v/>
      </c>
      <c r="E8" s="5">
        <f>SUMIFS(销售开单!K:K,销售开单!A:A,A8,销售开单!C:C,"批发")</f>
        <v/>
      </c>
      <c r="F8" s="6">
        <f>SUMIFS(销售开单!I:I,销售开单!A:A,A8,销售开单!C:C,"批发")</f>
        <v/>
      </c>
      <c r="G8" s="5">
        <f>C8+E8</f>
        <v/>
      </c>
      <c r="H8" s="5">
        <f>IF(C8+E8=0,0,(C8+E8)*SUMPRODUCT((商品目录!H4:H23)*(商品目录!J4:J23))/SUM(商品目录!H4:H23))</f>
        <v/>
      </c>
      <c r="I8" s="5">
        <f>G8-H8</f>
        <v/>
      </c>
      <c r="J8" s="51">
        <f>IF(G8=0,0,I8/G8)</f>
        <v/>
      </c>
    </row>
    <row r="9" ht="14.5" customHeight="1">
      <c r="A9" s="4" t="inlineStr">
        <is>
          <t>2026-06-11</t>
        </is>
      </c>
      <c r="B9" s="5">
        <f>SUMIF(进货单!A:A,A9,进货单!K:K)</f>
        <v/>
      </c>
      <c r="C9" s="5">
        <f>SUMIFS(销售开单!K:K,销售开单!A:A,A9,销售开单!C:C,"零售")</f>
        <v/>
      </c>
      <c r="D9" s="6">
        <f>SUMIFS(销售开单!I:I,销售开单!A:A,A9,销售开单!C:C,"零售")</f>
        <v/>
      </c>
      <c r="E9" s="5">
        <f>SUMIFS(销售开单!K:K,销售开单!A:A,A9,销售开单!C:C,"批发")</f>
        <v/>
      </c>
      <c r="F9" s="6">
        <f>SUMIFS(销售开单!I:I,销售开单!A:A,A9,销售开单!C:C,"批发")</f>
        <v/>
      </c>
      <c r="G9" s="5">
        <f>C9+E9</f>
        <v/>
      </c>
      <c r="H9" s="5">
        <f>IF(C9+E9=0,0,(C9+E9)*SUMPRODUCT((商品目录!H4:H23)*(商品目录!J4:J23))/SUM(商品目录!H4:H23))</f>
        <v/>
      </c>
      <c r="I9" s="5">
        <f>G9-H9</f>
        <v/>
      </c>
      <c r="J9" s="51">
        <f>IF(G9=0,0,I9/G9)</f>
        <v/>
      </c>
    </row>
    <row r="10" ht="14.5" customHeight="1">
      <c r="A10" s="4" t="inlineStr">
        <is>
          <t>2026-06-12</t>
        </is>
      </c>
      <c r="B10" s="5">
        <f>SUMIF(进货单!A:A,A10,进货单!K:K)</f>
        <v/>
      </c>
      <c r="C10" s="5">
        <f>SUMIFS(销售开单!K:K,销售开单!A:A,A10,销售开单!C:C,"零售")</f>
        <v/>
      </c>
      <c r="D10" s="6">
        <f>SUMIFS(销售开单!I:I,销售开单!A:A,A10,销售开单!C:C,"零售")</f>
        <v/>
      </c>
      <c r="E10" s="5">
        <f>SUMIFS(销售开单!K:K,销售开单!A:A,A10,销售开单!C:C,"批发")</f>
        <v/>
      </c>
      <c r="F10" s="6">
        <f>SUMIFS(销售开单!I:I,销售开单!A:A,A10,销售开单!C:C,"批发")</f>
        <v/>
      </c>
      <c r="G10" s="5">
        <f>C10+E10</f>
        <v/>
      </c>
      <c r="H10" s="5">
        <f>IF(C10+E10=0,0,(C10+E10)*SUMPRODUCT((商品目录!H4:H23)*(商品目录!J4:J23))/SUM(商品目录!H4:H23))</f>
        <v/>
      </c>
      <c r="I10" s="5">
        <f>G10-H10</f>
        <v/>
      </c>
      <c r="J10" s="51">
        <f>IF(G10=0,0,I10/G10)</f>
        <v/>
      </c>
    </row>
    <row r="11" ht="14.5" customHeight="1">
      <c r="A11" s="4" t="inlineStr">
        <is>
          <t>2026-06-13</t>
        </is>
      </c>
      <c r="B11" s="5">
        <f>SUMIF(进货单!A:A,A11,进货单!K:K)</f>
        <v/>
      </c>
      <c r="C11" s="5">
        <f>SUMIFS(销售开单!K:K,销售开单!A:A,A11,销售开单!C:C,"零售")</f>
        <v/>
      </c>
      <c r="D11" s="6">
        <f>SUMIFS(销售开单!I:I,销售开单!A:A,A11,销售开单!C:C,"零售")</f>
        <v/>
      </c>
      <c r="E11" s="5">
        <f>SUMIFS(销售开单!K:K,销售开单!A:A,A11,销售开单!C:C,"批发")</f>
        <v/>
      </c>
      <c r="F11" s="6">
        <f>SUMIFS(销售开单!I:I,销售开单!A:A,A11,销售开单!C:C,"批发")</f>
        <v/>
      </c>
      <c r="G11" s="5">
        <f>C11+E11</f>
        <v/>
      </c>
      <c r="H11" s="5">
        <f>IF(C11+E11=0,0,(C11+E11)*SUMPRODUCT((商品目录!H4:H23)*(商品目录!J4:J23))/SUM(商品目录!H4:H23))</f>
        <v/>
      </c>
      <c r="I11" s="5">
        <f>G11-H11</f>
        <v/>
      </c>
      <c r="J11" s="51">
        <f>IF(G11=0,0,I11/G11)</f>
        <v/>
      </c>
    </row>
    <row r="12" ht="14.5" customHeight="1">
      <c r="A12" s="8" t="inlineStr">
        <is>
          <t>合计</t>
        </is>
      </c>
      <c r="B12" s="9">
        <f>SUM(B4:B11)</f>
        <v/>
      </c>
      <c r="C12" s="9">
        <f>SUM(C4:C11)</f>
        <v/>
      </c>
      <c r="D12" s="10">
        <f>SUM(D4:D11)</f>
        <v/>
      </c>
      <c r="E12" s="9">
        <f>SUM(E4:E11)</f>
        <v/>
      </c>
      <c r="F12" s="10">
        <f>SUM(F4:F11)</f>
        <v/>
      </c>
      <c r="G12" s="9">
        <f>SUM(G4:G11)</f>
        <v/>
      </c>
      <c r="H12" s="9">
        <f>SUM(H4:H11)</f>
        <v/>
      </c>
      <c r="I12" s="9">
        <f>SUM(I4:I11)</f>
        <v/>
      </c>
      <c r="J12" s="52">
        <f>SUM(J4:J11)</f>
        <v/>
      </c>
    </row>
  </sheetData>
  <mergeCells count="2">
    <mergeCell ref="A2:N2"/>
    <mergeCell ref="A1:N1"/>
  </mergeCells>
  <conditionalFormatting sqref="I4:I12">
    <cfRule type="colorScale" priority="1">
      <colorScale>
        <cfvo type="min"/>
        <cfvo type="percentile" val="50"/>
        <cfvo type="max"/>
        <color rgb="FFF8696B"/>
        <color rgb="FFFFC000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2026-06-13T14:04:00Z</dcterms:created>
  <dcterms:modified xmlns:dcterms="http://purl.org/dc/terms/" xmlns:xsi="http://www.w3.org/2001/XMLSchema-instance" xsi:type="dcterms:W3CDTF">2026-06-13T15:48:33Z</dcterms:modified>
  <cp:lastModifiedBy>阳春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7107335ED18F46B5A57F0089EAC56618_12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